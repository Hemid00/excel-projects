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4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e4af443568752140/Documents/Excel tasklar/"/>
    </mc:Choice>
  </mc:AlternateContent>
  <xr:revisionPtr revIDLastSave="9" documentId="13_ncr:1_{8807D80D-993D-4862-BE47-66F29A586621}" xr6:coauthVersionLast="47" xr6:coauthVersionMax="47" xr10:uidLastSave="{56E48EF5-AEAC-4B72-9326-AEA0F1ADD063}"/>
  <bookViews>
    <workbookView xWindow="-120" yWindow="-120" windowWidth="29040" windowHeight="15720" xr2:uid="{00000000-000D-0000-FFFF-FFFF00000000}"/>
  </bookViews>
  <sheets>
    <sheet name="Summary" sheetId="1" r:id="rId1"/>
    <sheet name="Raw" sheetId="2" r:id="rId2"/>
  </sheets>
  <definedNames>
    <definedName name="_xlnm._FilterDatabase" localSheetId="1" hidden="1">Raw!$A$1:$M$614</definedName>
    <definedName name="_xlchart.v1.0" hidden="1">Raw!$G$2:$G$1000</definedName>
    <definedName name="_xlchart.v1.1" hidden="1">Raw!$H$1</definedName>
    <definedName name="_xlchart.v1.2" hidden="1">Raw!$H$2:$H$1000</definedName>
    <definedName name="_xlchart.v1.3" hidden="1">Raw!$G$2:$G$1000</definedName>
    <definedName name="_xlchart.v1.4" hidden="1">Raw!$J$1</definedName>
    <definedName name="_xlchart.v1.5" hidden="1">Raw!$J$2:$J$1000</definedName>
    <definedName name="_xlchart.v1.6" hidden="1">Raw!$H$1</definedName>
    <definedName name="_xlchart.v1.7" hidden="1">Raw!$H$2:$H$1000</definedName>
    <definedName name="_xlchart.v1.8" hidden="1">Raw!$J$1</definedName>
    <definedName name="_xlchart.v1.9" hidden="1">Raw!$J$2:$J$1000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E2" i="2" s="1"/>
  <c r="F2" i="2" s="1"/>
  <c r="I2" i="2"/>
  <c r="K2" i="2"/>
  <c r="L2" i="2"/>
  <c r="M2" i="2"/>
  <c r="N2" i="2"/>
  <c r="N3" i="2"/>
  <c r="N4" i="2"/>
  <c r="F369" i="1" s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B365" i="1"/>
  <c r="B366" i="1"/>
  <c r="B367" i="1"/>
  <c r="B368" i="1"/>
  <c r="B369" i="1"/>
  <c r="B364" i="1"/>
  <c r="C349" i="1"/>
  <c r="C350" i="1"/>
  <c r="C351" i="1"/>
  <c r="C352" i="1"/>
  <c r="C353" i="1"/>
  <c r="C354" i="1"/>
  <c r="E349" i="1"/>
  <c r="E350" i="1"/>
  <c r="E351" i="1"/>
  <c r="E352" i="1"/>
  <c r="E353" i="1"/>
  <c r="E354" i="1"/>
  <c r="L3" i="2"/>
  <c r="M3" i="2" s="1"/>
  <c r="L4" i="2"/>
  <c r="M4" i="2" s="1"/>
  <c r="L5" i="2"/>
  <c r="M5" i="2" s="1"/>
  <c r="L6" i="2"/>
  <c r="M6" i="2" s="1"/>
  <c r="L7" i="2"/>
  <c r="M7" i="2" s="1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L30" i="2"/>
  <c r="M30" i="2" s="1"/>
  <c r="L31" i="2"/>
  <c r="M31" i="2" s="1"/>
  <c r="L32" i="2"/>
  <c r="M32" i="2" s="1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39" i="2"/>
  <c r="M39" i="2" s="1"/>
  <c r="L40" i="2"/>
  <c r="M40" i="2" s="1"/>
  <c r="L41" i="2"/>
  <c r="M41" i="2" s="1"/>
  <c r="L42" i="2"/>
  <c r="M42" i="2" s="1"/>
  <c r="L43" i="2"/>
  <c r="M43" i="2" s="1"/>
  <c r="L44" i="2"/>
  <c r="M44" i="2" s="1"/>
  <c r="L45" i="2"/>
  <c r="M45" i="2" s="1"/>
  <c r="L46" i="2"/>
  <c r="M46" i="2" s="1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M53" i="2" s="1"/>
  <c r="L54" i="2"/>
  <c r="M54" i="2" s="1"/>
  <c r="L55" i="2"/>
  <c r="M55" i="2" s="1"/>
  <c r="L56" i="2"/>
  <c r="M56" i="2" s="1"/>
  <c r="L57" i="2"/>
  <c r="M57" i="2" s="1"/>
  <c r="L58" i="2"/>
  <c r="M58" i="2" s="1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 s="1"/>
  <c r="L65" i="2"/>
  <c r="M65" i="2" s="1"/>
  <c r="L66" i="2"/>
  <c r="M66" i="2" s="1"/>
  <c r="L67" i="2"/>
  <c r="M67" i="2" s="1"/>
  <c r="L68" i="2"/>
  <c r="M68" i="2" s="1"/>
  <c r="L69" i="2"/>
  <c r="M69" i="2" s="1"/>
  <c r="L70" i="2"/>
  <c r="M70" i="2" s="1"/>
  <c r="L71" i="2"/>
  <c r="M71" i="2" s="1"/>
  <c r="L72" i="2"/>
  <c r="M72" i="2" s="1"/>
  <c r="L73" i="2"/>
  <c r="M73" i="2" s="1"/>
  <c r="L74" i="2"/>
  <c r="M74" i="2" s="1"/>
  <c r="L75" i="2"/>
  <c r="M75" i="2" s="1"/>
  <c r="L76" i="2"/>
  <c r="M76" i="2" s="1"/>
  <c r="L77" i="2"/>
  <c r="M77" i="2" s="1"/>
  <c r="L78" i="2"/>
  <c r="M78" i="2" s="1"/>
  <c r="L79" i="2"/>
  <c r="M79" i="2" s="1"/>
  <c r="L80" i="2"/>
  <c r="M80" i="2" s="1"/>
  <c r="L81" i="2"/>
  <c r="M81" i="2" s="1"/>
  <c r="L82" i="2"/>
  <c r="M82" i="2" s="1"/>
  <c r="L83" i="2"/>
  <c r="M83" i="2" s="1"/>
  <c r="L84" i="2"/>
  <c r="M84" i="2" s="1"/>
  <c r="L85" i="2"/>
  <c r="M85" i="2" s="1"/>
  <c r="L86" i="2"/>
  <c r="M86" i="2" s="1"/>
  <c r="L87" i="2"/>
  <c r="M87" i="2" s="1"/>
  <c r="L88" i="2"/>
  <c r="M88" i="2" s="1"/>
  <c r="L89" i="2"/>
  <c r="M89" i="2" s="1"/>
  <c r="L90" i="2"/>
  <c r="M90" i="2" s="1"/>
  <c r="L91" i="2"/>
  <c r="M91" i="2" s="1"/>
  <c r="L92" i="2"/>
  <c r="M92" i="2" s="1"/>
  <c r="L93" i="2"/>
  <c r="M93" i="2" s="1"/>
  <c r="L94" i="2"/>
  <c r="M94" i="2" s="1"/>
  <c r="L95" i="2"/>
  <c r="M95" i="2" s="1"/>
  <c r="L96" i="2"/>
  <c r="M96" i="2" s="1"/>
  <c r="L97" i="2"/>
  <c r="M97" i="2" s="1"/>
  <c r="L98" i="2"/>
  <c r="M98" i="2" s="1"/>
  <c r="L99" i="2"/>
  <c r="M99" i="2" s="1"/>
  <c r="L100" i="2"/>
  <c r="M100" i="2" s="1"/>
  <c r="L101" i="2"/>
  <c r="M101" i="2" s="1"/>
  <c r="L102" i="2"/>
  <c r="M102" i="2" s="1"/>
  <c r="L103" i="2"/>
  <c r="M103" i="2" s="1"/>
  <c r="L104" i="2"/>
  <c r="M104" i="2" s="1"/>
  <c r="L105" i="2"/>
  <c r="M105" i="2" s="1"/>
  <c r="L106" i="2"/>
  <c r="M106" i="2" s="1"/>
  <c r="L107" i="2"/>
  <c r="M107" i="2" s="1"/>
  <c r="L108" i="2"/>
  <c r="M108" i="2" s="1"/>
  <c r="L109" i="2"/>
  <c r="M109" i="2" s="1"/>
  <c r="L110" i="2"/>
  <c r="M110" i="2" s="1"/>
  <c r="L111" i="2"/>
  <c r="M111" i="2" s="1"/>
  <c r="L112" i="2"/>
  <c r="M112" i="2" s="1"/>
  <c r="L113" i="2"/>
  <c r="M113" i="2" s="1"/>
  <c r="L114" i="2"/>
  <c r="M114" i="2" s="1"/>
  <c r="L115" i="2"/>
  <c r="M115" i="2" s="1"/>
  <c r="L116" i="2"/>
  <c r="M116" i="2" s="1"/>
  <c r="L117" i="2"/>
  <c r="M117" i="2" s="1"/>
  <c r="L118" i="2"/>
  <c r="M118" i="2" s="1"/>
  <c r="L119" i="2"/>
  <c r="M119" i="2" s="1"/>
  <c r="L120" i="2"/>
  <c r="M120" i="2" s="1"/>
  <c r="L121" i="2"/>
  <c r="M121" i="2" s="1"/>
  <c r="L122" i="2"/>
  <c r="M122" i="2" s="1"/>
  <c r="L123" i="2"/>
  <c r="M123" i="2" s="1"/>
  <c r="L124" i="2"/>
  <c r="M124" i="2" s="1"/>
  <c r="L125" i="2"/>
  <c r="M125" i="2" s="1"/>
  <c r="L126" i="2"/>
  <c r="M126" i="2" s="1"/>
  <c r="L127" i="2"/>
  <c r="M127" i="2" s="1"/>
  <c r="L128" i="2"/>
  <c r="M128" i="2" s="1"/>
  <c r="L129" i="2"/>
  <c r="M129" i="2" s="1"/>
  <c r="L130" i="2"/>
  <c r="M130" i="2" s="1"/>
  <c r="L131" i="2"/>
  <c r="M131" i="2" s="1"/>
  <c r="L132" i="2"/>
  <c r="M132" i="2" s="1"/>
  <c r="L133" i="2"/>
  <c r="M133" i="2" s="1"/>
  <c r="L134" i="2"/>
  <c r="M134" i="2" s="1"/>
  <c r="L135" i="2"/>
  <c r="M135" i="2" s="1"/>
  <c r="L136" i="2"/>
  <c r="M136" i="2" s="1"/>
  <c r="L137" i="2"/>
  <c r="M137" i="2" s="1"/>
  <c r="L138" i="2"/>
  <c r="M138" i="2" s="1"/>
  <c r="L139" i="2"/>
  <c r="M139" i="2" s="1"/>
  <c r="L140" i="2"/>
  <c r="M140" i="2" s="1"/>
  <c r="L141" i="2"/>
  <c r="M141" i="2" s="1"/>
  <c r="L142" i="2"/>
  <c r="M142" i="2" s="1"/>
  <c r="L143" i="2"/>
  <c r="M143" i="2" s="1"/>
  <c r="L144" i="2"/>
  <c r="M144" i="2" s="1"/>
  <c r="L145" i="2"/>
  <c r="M145" i="2" s="1"/>
  <c r="L146" i="2"/>
  <c r="M146" i="2" s="1"/>
  <c r="L147" i="2"/>
  <c r="M147" i="2" s="1"/>
  <c r="L148" i="2"/>
  <c r="M148" i="2" s="1"/>
  <c r="L149" i="2"/>
  <c r="M149" i="2" s="1"/>
  <c r="L150" i="2"/>
  <c r="M150" i="2" s="1"/>
  <c r="L151" i="2"/>
  <c r="M151" i="2" s="1"/>
  <c r="L152" i="2"/>
  <c r="M152" i="2" s="1"/>
  <c r="L153" i="2"/>
  <c r="M153" i="2" s="1"/>
  <c r="L154" i="2"/>
  <c r="M154" i="2" s="1"/>
  <c r="L155" i="2"/>
  <c r="M155" i="2" s="1"/>
  <c r="L156" i="2"/>
  <c r="M156" i="2" s="1"/>
  <c r="L157" i="2"/>
  <c r="M157" i="2" s="1"/>
  <c r="L158" i="2"/>
  <c r="M158" i="2" s="1"/>
  <c r="L159" i="2"/>
  <c r="M159" i="2" s="1"/>
  <c r="L160" i="2"/>
  <c r="M160" i="2" s="1"/>
  <c r="L161" i="2"/>
  <c r="M161" i="2" s="1"/>
  <c r="L162" i="2"/>
  <c r="M162" i="2" s="1"/>
  <c r="L163" i="2"/>
  <c r="M163" i="2" s="1"/>
  <c r="L164" i="2"/>
  <c r="M164" i="2" s="1"/>
  <c r="L165" i="2"/>
  <c r="M165" i="2" s="1"/>
  <c r="L166" i="2"/>
  <c r="M166" i="2" s="1"/>
  <c r="L167" i="2"/>
  <c r="M167" i="2" s="1"/>
  <c r="L168" i="2"/>
  <c r="M168" i="2" s="1"/>
  <c r="L169" i="2"/>
  <c r="M169" i="2" s="1"/>
  <c r="L170" i="2"/>
  <c r="M170" i="2" s="1"/>
  <c r="L171" i="2"/>
  <c r="M171" i="2" s="1"/>
  <c r="L172" i="2"/>
  <c r="M172" i="2" s="1"/>
  <c r="L173" i="2"/>
  <c r="M173" i="2" s="1"/>
  <c r="L174" i="2"/>
  <c r="M174" i="2" s="1"/>
  <c r="L175" i="2"/>
  <c r="M175" i="2" s="1"/>
  <c r="L176" i="2"/>
  <c r="M176" i="2" s="1"/>
  <c r="L177" i="2"/>
  <c r="M177" i="2" s="1"/>
  <c r="L178" i="2"/>
  <c r="M178" i="2" s="1"/>
  <c r="L179" i="2"/>
  <c r="M179" i="2" s="1"/>
  <c r="L180" i="2"/>
  <c r="M180" i="2" s="1"/>
  <c r="L181" i="2"/>
  <c r="M181" i="2" s="1"/>
  <c r="L182" i="2"/>
  <c r="M182" i="2" s="1"/>
  <c r="L183" i="2"/>
  <c r="M183" i="2" s="1"/>
  <c r="L184" i="2"/>
  <c r="M184" i="2" s="1"/>
  <c r="L185" i="2"/>
  <c r="M185" i="2" s="1"/>
  <c r="L186" i="2"/>
  <c r="M186" i="2" s="1"/>
  <c r="L187" i="2"/>
  <c r="M187" i="2" s="1"/>
  <c r="L188" i="2"/>
  <c r="M188" i="2" s="1"/>
  <c r="L189" i="2"/>
  <c r="M189" i="2" s="1"/>
  <c r="L190" i="2"/>
  <c r="M190" i="2" s="1"/>
  <c r="L191" i="2"/>
  <c r="M191" i="2" s="1"/>
  <c r="L192" i="2"/>
  <c r="M192" i="2" s="1"/>
  <c r="L193" i="2"/>
  <c r="M193" i="2" s="1"/>
  <c r="L194" i="2"/>
  <c r="M194" i="2" s="1"/>
  <c r="L195" i="2"/>
  <c r="M195" i="2" s="1"/>
  <c r="L196" i="2"/>
  <c r="M196" i="2" s="1"/>
  <c r="L197" i="2"/>
  <c r="M197" i="2" s="1"/>
  <c r="L198" i="2"/>
  <c r="M198" i="2" s="1"/>
  <c r="L199" i="2"/>
  <c r="M199" i="2" s="1"/>
  <c r="L200" i="2"/>
  <c r="M200" i="2" s="1"/>
  <c r="L201" i="2"/>
  <c r="M201" i="2" s="1"/>
  <c r="L202" i="2"/>
  <c r="M202" i="2" s="1"/>
  <c r="L203" i="2"/>
  <c r="M203" i="2" s="1"/>
  <c r="L204" i="2"/>
  <c r="M204" i="2" s="1"/>
  <c r="L205" i="2"/>
  <c r="M205" i="2" s="1"/>
  <c r="L206" i="2"/>
  <c r="M206" i="2" s="1"/>
  <c r="L207" i="2"/>
  <c r="M207" i="2" s="1"/>
  <c r="L208" i="2"/>
  <c r="M208" i="2" s="1"/>
  <c r="L209" i="2"/>
  <c r="M209" i="2" s="1"/>
  <c r="L210" i="2"/>
  <c r="M210" i="2" s="1"/>
  <c r="L211" i="2"/>
  <c r="M211" i="2" s="1"/>
  <c r="L212" i="2"/>
  <c r="M212" i="2" s="1"/>
  <c r="L213" i="2"/>
  <c r="M213" i="2" s="1"/>
  <c r="L214" i="2"/>
  <c r="M214" i="2" s="1"/>
  <c r="L215" i="2"/>
  <c r="M215" i="2" s="1"/>
  <c r="L216" i="2"/>
  <c r="M216" i="2" s="1"/>
  <c r="L217" i="2"/>
  <c r="M217" i="2" s="1"/>
  <c r="L218" i="2"/>
  <c r="M218" i="2" s="1"/>
  <c r="L219" i="2"/>
  <c r="M219" i="2" s="1"/>
  <c r="L220" i="2"/>
  <c r="M220" i="2" s="1"/>
  <c r="L221" i="2"/>
  <c r="M221" i="2" s="1"/>
  <c r="L222" i="2"/>
  <c r="M222" i="2" s="1"/>
  <c r="L223" i="2"/>
  <c r="M223" i="2" s="1"/>
  <c r="L224" i="2"/>
  <c r="M224" i="2" s="1"/>
  <c r="L225" i="2"/>
  <c r="M225" i="2" s="1"/>
  <c r="L226" i="2"/>
  <c r="M226" i="2" s="1"/>
  <c r="L227" i="2"/>
  <c r="M227" i="2" s="1"/>
  <c r="L228" i="2"/>
  <c r="M228" i="2" s="1"/>
  <c r="L229" i="2"/>
  <c r="M229" i="2" s="1"/>
  <c r="L230" i="2"/>
  <c r="M230" i="2" s="1"/>
  <c r="L231" i="2"/>
  <c r="M231" i="2" s="1"/>
  <c r="L232" i="2"/>
  <c r="M232" i="2" s="1"/>
  <c r="L233" i="2"/>
  <c r="M233" i="2" s="1"/>
  <c r="L234" i="2"/>
  <c r="M234" i="2" s="1"/>
  <c r="L235" i="2"/>
  <c r="M235" i="2" s="1"/>
  <c r="L236" i="2"/>
  <c r="M236" i="2" s="1"/>
  <c r="L237" i="2"/>
  <c r="M237" i="2" s="1"/>
  <c r="L238" i="2"/>
  <c r="M238" i="2" s="1"/>
  <c r="L239" i="2"/>
  <c r="M239" i="2" s="1"/>
  <c r="L240" i="2"/>
  <c r="M240" i="2" s="1"/>
  <c r="L241" i="2"/>
  <c r="M241" i="2" s="1"/>
  <c r="L242" i="2"/>
  <c r="M242" i="2" s="1"/>
  <c r="L243" i="2"/>
  <c r="M243" i="2" s="1"/>
  <c r="L244" i="2"/>
  <c r="M244" i="2" s="1"/>
  <c r="L245" i="2"/>
  <c r="M245" i="2" s="1"/>
  <c r="L246" i="2"/>
  <c r="M246" i="2" s="1"/>
  <c r="L247" i="2"/>
  <c r="M247" i="2" s="1"/>
  <c r="L248" i="2"/>
  <c r="M248" i="2" s="1"/>
  <c r="L249" i="2"/>
  <c r="M249" i="2" s="1"/>
  <c r="L250" i="2"/>
  <c r="M250" i="2" s="1"/>
  <c r="L251" i="2"/>
  <c r="M251" i="2" s="1"/>
  <c r="L252" i="2"/>
  <c r="M252" i="2" s="1"/>
  <c r="L253" i="2"/>
  <c r="M253" i="2" s="1"/>
  <c r="L254" i="2"/>
  <c r="M254" i="2" s="1"/>
  <c r="L255" i="2"/>
  <c r="M255" i="2" s="1"/>
  <c r="L256" i="2"/>
  <c r="M256" i="2" s="1"/>
  <c r="L257" i="2"/>
  <c r="M257" i="2" s="1"/>
  <c r="L258" i="2"/>
  <c r="M258" i="2" s="1"/>
  <c r="L259" i="2"/>
  <c r="M259" i="2" s="1"/>
  <c r="L260" i="2"/>
  <c r="M260" i="2" s="1"/>
  <c r="L261" i="2"/>
  <c r="M261" i="2" s="1"/>
  <c r="L262" i="2"/>
  <c r="M262" i="2" s="1"/>
  <c r="L263" i="2"/>
  <c r="M263" i="2" s="1"/>
  <c r="L264" i="2"/>
  <c r="M264" i="2" s="1"/>
  <c r="L265" i="2"/>
  <c r="M265" i="2" s="1"/>
  <c r="L266" i="2"/>
  <c r="M266" i="2" s="1"/>
  <c r="L267" i="2"/>
  <c r="M267" i="2" s="1"/>
  <c r="L268" i="2"/>
  <c r="M268" i="2" s="1"/>
  <c r="L269" i="2"/>
  <c r="M269" i="2" s="1"/>
  <c r="L270" i="2"/>
  <c r="M270" i="2" s="1"/>
  <c r="L271" i="2"/>
  <c r="M271" i="2" s="1"/>
  <c r="L272" i="2"/>
  <c r="M272" i="2" s="1"/>
  <c r="L273" i="2"/>
  <c r="M273" i="2" s="1"/>
  <c r="L274" i="2"/>
  <c r="M274" i="2" s="1"/>
  <c r="L275" i="2"/>
  <c r="M275" i="2" s="1"/>
  <c r="L276" i="2"/>
  <c r="M276" i="2" s="1"/>
  <c r="L277" i="2"/>
  <c r="M277" i="2" s="1"/>
  <c r="L278" i="2"/>
  <c r="M278" i="2" s="1"/>
  <c r="L279" i="2"/>
  <c r="M279" i="2" s="1"/>
  <c r="L280" i="2"/>
  <c r="M280" i="2" s="1"/>
  <c r="L281" i="2"/>
  <c r="M281" i="2" s="1"/>
  <c r="L282" i="2"/>
  <c r="M282" i="2" s="1"/>
  <c r="L283" i="2"/>
  <c r="M283" i="2" s="1"/>
  <c r="L284" i="2"/>
  <c r="M284" i="2" s="1"/>
  <c r="L285" i="2"/>
  <c r="M285" i="2" s="1"/>
  <c r="L286" i="2"/>
  <c r="M286" i="2" s="1"/>
  <c r="L287" i="2"/>
  <c r="M287" i="2" s="1"/>
  <c r="L288" i="2"/>
  <c r="M288" i="2" s="1"/>
  <c r="L289" i="2"/>
  <c r="M289" i="2" s="1"/>
  <c r="L290" i="2"/>
  <c r="M290" i="2" s="1"/>
  <c r="L291" i="2"/>
  <c r="M291" i="2" s="1"/>
  <c r="L292" i="2"/>
  <c r="M292" i="2" s="1"/>
  <c r="L293" i="2"/>
  <c r="M293" i="2" s="1"/>
  <c r="L294" i="2"/>
  <c r="M294" i="2" s="1"/>
  <c r="L295" i="2"/>
  <c r="M295" i="2" s="1"/>
  <c r="L296" i="2"/>
  <c r="M296" i="2" s="1"/>
  <c r="L297" i="2"/>
  <c r="M297" i="2" s="1"/>
  <c r="L298" i="2"/>
  <c r="M298" i="2" s="1"/>
  <c r="L299" i="2"/>
  <c r="M299" i="2" s="1"/>
  <c r="L300" i="2"/>
  <c r="M300" i="2" s="1"/>
  <c r="L301" i="2"/>
  <c r="M301" i="2" s="1"/>
  <c r="L302" i="2"/>
  <c r="M302" i="2" s="1"/>
  <c r="L303" i="2"/>
  <c r="M303" i="2" s="1"/>
  <c r="L304" i="2"/>
  <c r="M304" i="2" s="1"/>
  <c r="L305" i="2"/>
  <c r="M305" i="2" s="1"/>
  <c r="L306" i="2"/>
  <c r="M306" i="2" s="1"/>
  <c r="L307" i="2"/>
  <c r="M307" i="2" s="1"/>
  <c r="L308" i="2"/>
  <c r="M308" i="2" s="1"/>
  <c r="L309" i="2"/>
  <c r="M309" i="2" s="1"/>
  <c r="L310" i="2"/>
  <c r="M310" i="2" s="1"/>
  <c r="L311" i="2"/>
  <c r="M311" i="2" s="1"/>
  <c r="L312" i="2"/>
  <c r="M312" i="2" s="1"/>
  <c r="L313" i="2"/>
  <c r="M313" i="2" s="1"/>
  <c r="L314" i="2"/>
  <c r="M314" i="2" s="1"/>
  <c r="L315" i="2"/>
  <c r="M315" i="2" s="1"/>
  <c r="L316" i="2"/>
  <c r="M316" i="2" s="1"/>
  <c r="L317" i="2"/>
  <c r="M317" i="2" s="1"/>
  <c r="L318" i="2"/>
  <c r="M318" i="2" s="1"/>
  <c r="L319" i="2"/>
  <c r="M319" i="2" s="1"/>
  <c r="L320" i="2"/>
  <c r="M320" i="2" s="1"/>
  <c r="L321" i="2"/>
  <c r="M321" i="2" s="1"/>
  <c r="L322" i="2"/>
  <c r="M322" i="2" s="1"/>
  <c r="L323" i="2"/>
  <c r="M323" i="2" s="1"/>
  <c r="L324" i="2"/>
  <c r="M324" i="2" s="1"/>
  <c r="L325" i="2"/>
  <c r="M325" i="2" s="1"/>
  <c r="L326" i="2"/>
  <c r="M326" i="2" s="1"/>
  <c r="L327" i="2"/>
  <c r="M327" i="2" s="1"/>
  <c r="L328" i="2"/>
  <c r="M328" i="2" s="1"/>
  <c r="L329" i="2"/>
  <c r="M329" i="2" s="1"/>
  <c r="L330" i="2"/>
  <c r="M330" i="2" s="1"/>
  <c r="L331" i="2"/>
  <c r="M331" i="2" s="1"/>
  <c r="L332" i="2"/>
  <c r="M332" i="2" s="1"/>
  <c r="L333" i="2"/>
  <c r="M333" i="2" s="1"/>
  <c r="L334" i="2"/>
  <c r="M334" i="2" s="1"/>
  <c r="L335" i="2"/>
  <c r="M335" i="2" s="1"/>
  <c r="L336" i="2"/>
  <c r="M336" i="2" s="1"/>
  <c r="L337" i="2"/>
  <c r="M337" i="2" s="1"/>
  <c r="L338" i="2"/>
  <c r="M338" i="2" s="1"/>
  <c r="L339" i="2"/>
  <c r="M339" i="2" s="1"/>
  <c r="L340" i="2"/>
  <c r="M340" i="2" s="1"/>
  <c r="L341" i="2"/>
  <c r="M341" i="2" s="1"/>
  <c r="L342" i="2"/>
  <c r="M342" i="2" s="1"/>
  <c r="L343" i="2"/>
  <c r="M343" i="2" s="1"/>
  <c r="L344" i="2"/>
  <c r="M344" i="2" s="1"/>
  <c r="L345" i="2"/>
  <c r="M345" i="2" s="1"/>
  <c r="L346" i="2"/>
  <c r="M346" i="2" s="1"/>
  <c r="L347" i="2"/>
  <c r="M347" i="2" s="1"/>
  <c r="L348" i="2"/>
  <c r="M348" i="2" s="1"/>
  <c r="L349" i="2"/>
  <c r="M349" i="2" s="1"/>
  <c r="L350" i="2"/>
  <c r="M350" i="2" s="1"/>
  <c r="L351" i="2"/>
  <c r="M351" i="2" s="1"/>
  <c r="L352" i="2"/>
  <c r="M352" i="2" s="1"/>
  <c r="L353" i="2"/>
  <c r="M353" i="2" s="1"/>
  <c r="L354" i="2"/>
  <c r="M354" i="2" s="1"/>
  <c r="L355" i="2"/>
  <c r="M355" i="2" s="1"/>
  <c r="L356" i="2"/>
  <c r="M356" i="2" s="1"/>
  <c r="L357" i="2"/>
  <c r="M357" i="2" s="1"/>
  <c r="L358" i="2"/>
  <c r="M358" i="2" s="1"/>
  <c r="L359" i="2"/>
  <c r="M359" i="2" s="1"/>
  <c r="L360" i="2"/>
  <c r="M360" i="2" s="1"/>
  <c r="L361" i="2"/>
  <c r="M361" i="2" s="1"/>
  <c r="L362" i="2"/>
  <c r="M362" i="2" s="1"/>
  <c r="L363" i="2"/>
  <c r="M363" i="2" s="1"/>
  <c r="L364" i="2"/>
  <c r="M364" i="2" s="1"/>
  <c r="L365" i="2"/>
  <c r="M365" i="2" s="1"/>
  <c r="L366" i="2"/>
  <c r="M366" i="2" s="1"/>
  <c r="L367" i="2"/>
  <c r="M367" i="2" s="1"/>
  <c r="L368" i="2"/>
  <c r="M368" i="2" s="1"/>
  <c r="L369" i="2"/>
  <c r="M369" i="2" s="1"/>
  <c r="L370" i="2"/>
  <c r="M370" i="2" s="1"/>
  <c r="L371" i="2"/>
  <c r="M371" i="2" s="1"/>
  <c r="L372" i="2"/>
  <c r="M372" i="2" s="1"/>
  <c r="L373" i="2"/>
  <c r="M373" i="2" s="1"/>
  <c r="L374" i="2"/>
  <c r="M374" i="2" s="1"/>
  <c r="L375" i="2"/>
  <c r="M375" i="2" s="1"/>
  <c r="L376" i="2"/>
  <c r="M376" i="2" s="1"/>
  <c r="L377" i="2"/>
  <c r="M377" i="2" s="1"/>
  <c r="L378" i="2"/>
  <c r="M378" i="2" s="1"/>
  <c r="L379" i="2"/>
  <c r="M379" i="2" s="1"/>
  <c r="L380" i="2"/>
  <c r="M380" i="2" s="1"/>
  <c r="L381" i="2"/>
  <c r="M381" i="2" s="1"/>
  <c r="L382" i="2"/>
  <c r="M382" i="2" s="1"/>
  <c r="L383" i="2"/>
  <c r="M383" i="2" s="1"/>
  <c r="L384" i="2"/>
  <c r="M384" i="2" s="1"/>
  <c r="L385" i="2"/>
  <c r="M385" i="2" s="1"/>
  <c r="L386" i="2"/>
  <c r="M386" i="2" s="1"/>
  <c r="L387" i="2"/>
  <c r="M387" i="2" s="1"/>
  <c r="L388" i="2"/>
  <c r="M388" i="2" s="1"/>
  <c r="L389" i="2"/>
  <c r="M389" i="2" s="1"/>
  <c r="L390" i="2"/>
  <c r="M390" i="2" s="1"/>
  <c r="L391" i="2"/>
  <c r="M391" i="2" s="1"/>
  <c r="L392" i="2"/>
  <c r="M392" i="2" s="1"/>
  <c r="L393" i="2"/>
  <c r="M393" i="2" s="1"/>
  <c r="L394" i="2"/>
  <c r="M394" i="2" s="1"/>
  <c r="L395" i="2"/>
  <c r="M395" i="2" s="1"/>
  <c r="L396" i="2"/>
  <c r="M396" i="2" s="1"/>
  <c r="L397" i="2"/>
  <c r="M397" i="2" s="1"/>
  <c r="L398" i="2"/>
  <c r="M398" i="2" s="1"/>
  <c r="L399" i="2"/>
  <c r="M399" i="2" s="1"/>
  <c r="L400" i="2"/>
  <c r="M400" i="2" s="1"/>
  <c r="L401" i="2"/>
  <c r="M401" i="2" s="1"/>
  <c r="L402" i="2"/>
  <c r="M402" i="2" s="1"/>
  <c r="L403" i="2"/>
  <c r="M403" i="2" s="1"/>
  <c r="L404" i="2"/>
  <c r="M404" i="2" s="1"/>
  <c r="L405" i="2"/>
  <c r="M405" i="2" s="1"/>
  <c r="L406" i="2"/>
  <c r="M406" i="2" s="1"/>
  <c r="L407" i="2"/>
  <c r="M407" i="2" s="1"/>
  <c r="L408" i="2"/>
  <c r="M408" i="2" s="1"/>
  <c r="L409" i="2"/>
  <c r="M409" i="2" s="1"/>
  <c r="L410" i="2"/>
  <c r="M410" i="2" s="1"/>
  <c r="L411" i="2"/>
  <c r="M411" i="2" s="1"/>
  <c r="L412" i="2"/>
  <c r="M412" i="2" s="1"/>
  <c r="L413" i="2"/>
  <c r="M413" i="2" s="1"/>
  <c r="L414" i="2"/>
  <c r="M414" i="2" s="1"/>
  <c r="L415" i="2"/>
  <c r="M415" i="2" s="1"/>
  <c r="L416" i="2"/>
  <c r="M416" i="2" s="1"/>
  <c r="L417" i="2"/>
  <c r="M417" i="2" s="1"/>
  <c r="L418" i="2"/>
  <c r="M418" i="2" s="1"/>
  <c r="L419" i="2"/>
  <c r="M419" i="2" s="1"/>
  <c r="L420" i="2"/>
  <c r="M420" i="2" s="1"/>
  <c r="L421" i="2"/>
  <c r="M421" i="2" s="1"/>
  <c r="L422" i="2"/>
  <c r="M422" i="2" s="1"/>
  <c r="L423" i="2"/>
  <c r="M423" i="2" s="1"/>
  <c r="L424" i="2"/>
  <c r="M424" i="2" s="1"/>
  <c r="L425" i="2"/>
  <c r="M425" i="2" s="1"/>
  <c r="L426" i="2"/>
  <c r="M426" i="2" s="1"/>
  <c r="L427" i="2"/>
  <c r="M427" i="2" s="1"/>
  <c r="L428" i="2"/>
  <c r="M428" i="2" s="1"/>
  <c r="L429" i="2"/>
  <c r="M429" i="2" s="1"/>
  <c r="L430" i="2"/>
  <c r="M430" i="2" s="1"/>
  <c r="L431" i="2"/>
  <c r="M431" i="2" s="1"/>
  <c r="L432" i="2"/>
  <c r="M432" i="2" s="1"/>
  <c r="L433" i="2"/>
  <c r="M433" i="2" s="1"/>
  <c r="L434" i="2"/>
  <c r="M434" i="2" s="1"/>
  <c r="L435" i="2"/>
  <c r="M435" i="2" s="1"/>
  <c r="L436" i="2"/>
  <c r="M436" i="2" s="1"/>
  <c r="L437" i="2"/>
  <c r="M437" i="2" s="1"/>
  <c r="L438" i="2"/>
  <c r="M438" i="2" s="1"/>
  <c r="L439" i="2"/>
  <c r="M439" i="2" s="1"/>
  <c r="L440" i="2"/>
  <c r="M440" i="2" s="1"/>
  <c r="L441" i="2"/>
  <c r="M441" i="2" s="1"/>
  <c r="L442" i="2"/>
  <c r="M442" i="2" s="1"/>
  <c r="L443" i="2"/>
  <c r="M443" i="2" s="1"/>
  <c r="L444" i="2"/>
  <c r="M444" i="2" s="1"/>
  <c r="L445" i="2"/>
  <c r="M445" i="2" s="1"/>
  <c r="L446" i="2"/>
  <c r="M446" i="2" s="1"/>
  <c r="L447" i="2"/>
  <c r="M447" i="2" s="1"/>
  <c r="L448" i="2"/>
  <c r="M448" i="2" s="1"/>
  <c r="L449" i="2"/>
  <c r="M449" i="2" s="1"/>
  <c r="L450" i="2"/>
  <c r="M450" i="2" s="1"/>
  <c r="L451" i="2"/>
  <c r="M451" i="2" s="1"/>
  <c r="L452" i="2"/>
  <c r="M452" i="2" s="1"/>
  <c r="L453" i="2"/>
  <c r="M453" i="2" s="1"/>
  <c r="L454" i="2"/>
  <c r="M454" i="2" s="1"/>
  <c r="L455" i="2"/>
  <c r="M455" i="2" s="1"/>
  <c r="L456" i="2"/>
  <c r="M456" i="2" s="1"/>
  <c r="L457" i="2"/>
  <c r="M457" i="2" s="1"/>
  <c r="L458" i="2"/>
  <c r="M458" i="2" s="1"/>
  <c r="L459" i="2"/>
  <c r="M459" i="2" s="1"/>
  <c r="L460" i="2"/>
  <c r="M460" i="2" s="1"/>
  <c r="L461" i="2"/>
  <c r="M461" i="2" s="1"/>
  <c r="L462" i="2"/>
  <c r="M462" i="2" s="1"/>
  <c r="L463" i="2"/>
  <c r="M463" i="2" s="1"/>
  <c r="L464" i="2"/>
  <c r="M464" i="2" s="1"/>
  <c r="L465" i="2"/>
  <c r="M465" i="2" s="1"/>
  <c r="L466" i="2"/>
  <c r="M466" i="2" s="1"/>
  <c r="L467" i="2"/>
  <c r="M467" i="2" s="1"/>
  <c r="L468" i="2"/>
  <c r="M468" i="2" s="1"/>
  <c r="L469" i="2"/>
  <c r="M469" i="2" s="1"/>
  <c r="L470" i="2"/>
  <c r="M470" i="2" s="1"/>
  <c r="L471" i="2"/>
  <c r="M471" i="2" s="1"/>
  <c r="L472" i="2"/>
  <c r="M472" i="2" s="1"/>
  <c r="L473" i="2"/>
  <c r="M473" i="2" s="1"/>
  <c r="L474" i="2"/>
  <c r="M474" i="2" s="1"/>
  <c r="L475" i="2"/>
  <c r="M475" i="2" s="1"/>
  <c r="L476" i="2"/>
  <c r="M476" i="2" s="1"/>
  <c r="L477" i="2"/>
  <c r="M477" i="2" s="1"/>
  <c r="L478" i="2"/>
  <c r="M478" i="2" s="1"/>
  <c r="L479" i="2"/>
  <c r="M479" i="2" s="1"/>
  <c r="L480" i="2"/>
  <c r="M480" i="2" s="1"/>
  <c r="L481" i="2"/>
  <c r="M481" i="2" s="1"/>
  <c r="L482" i="2"/>
  <c r="M482" i="2" s="1"/>
  <c r="L483" i="2"/>
  <c r="M483" i="2" s="1"/>
  <c r="L484" i="2"/>
  <c r="M484" i="2" s="1"/>
  <c r="L485" i="2"/>
  <c r="M485" i="2" s="1"/>
  <c r="L486" i="2"/>
  <c r="M486" i="2" s="1"/>
  <c r="L487" i="2"/>
  <c r="M487" i="2" s="1"/>
  <c r="L488" i="2"/>
  <c r="M488" i="2" s="1"/>
  <c r="L489" i="2"/>
  <c r="M489" i="2" s="1"/>
  <c r="L490" i="2"/>
  <c r="M490" i="2" s="1"/>
  <c r="L491" i="2"/>
  <c r="M491" i="2" s="1"/>
  <c r="L492" i="2"/>
  <c r="M492" i="2" s="1"/>
  <c r="L493" i="2"/>
  <c r="M493" i="2" s="1"/>
  <c r="L494" i="2"/>
  <c r="M494" i="2" s="1"/>
  <c r="L495" i="2"/>
  <c r="M495" i="2" s="1"/>
  <c r="L496" i="2"/>
  <c r="M496" i="2" s="1"/>
  <c r="L497" i="2"/>
  <c r="M497" i="2" s="1"/>
  <c r="L498" i="2"/>
  <c r="M498" i="2" s="1"/>
  <c r="L499" i="2"/>
  <c r="M499" i="2" s="1"/>
  <c r="L500" i="2"/>
  <c r="M500" i="2" s="1"/>
  <c r="L501" i="2"/>
  <c r="M501" i="2" s="1"/>
  <c r="L502" i="2"/>
  <c r="M502" i="2" s="1"/>
  <c r="L503" i="2"/>
  <c r="M503" i="2" s="1"/>
  <c r="L504" i="2"/>
  <c r="M504" i="2" s="1"/>
  <c r="L505" i="2"/>
  <c r="M505" i="2" s="1"/>
  <c r="L506" i="2"/>
  <c r="M506" i="2" s="1"/>
  <c r="L507" i="2"/>
  <c r="M507" i="2" s="1"/>
  <c r="L508" i="2"/>
  <c r="M508" i="2" s="1"/>
  <c r="L509" i="2"/>
  <c r="M509" i="2" s="1"/>
  <c r="L510" i="2"/>
  <c r="M510" i="2" s="1"/>
  <c r="L511" i="2"/>
  <c r="M511" i="2" s="1"/>
  <c r="L512" i="2"/>
  <c r="M512" i="2" s="1"/>
  <c r="L513" i="2"/>
  <c r="M513" i="2" s="1"/>
  <c r="L514" i="2"/>
  <c r="M514" i="2" s="1"/>
  <c r="L515" i="2"/>
  <c r="M515" i="2" s="1"/>
  <c r="L516" i="2"/>
  <c r="M516" i="2" s="1"/>
  <c r="L517" i="2"/>
  <c r="M517" i="2" s="1"/>
  <c r="L518" i="2"/>
  <c r="M518" i="2" s="1"/>
  <c r="L519" i="2"/>
  <c r="M519" i="2" s="1"/>
  <c r="L520" i="2"/>
  <c r="M520" i="2" s="1"/>
  <c r="L521" i="2"/>
  <c r="M521" i="2" s="1"/>
  <c r="L522" i="2"/>
  <c r="M522" i="2" s="1"/>
  <c r="L523" i="2"/>
  <c r="M523" i="2" s="1"/>
  <c r="L524" i="2"/>
  <c r="M524" i="2" s="1"/>
  <c r="L525" i="2"/>
  <c r="M525" i="2" s="1"/>
  <c r="L526" i="2"/>
  <c r="M526" i="2" s="1"/>
  <c r="L527" i="2"/>
  <c r="M527" i="2" s="1"/>
  <c r="L528" i="2"/>
  <c r="M528" i="2" s="1"/>
  <c r="L529" i="2"/>
  <c r="M529" i="2" s="1"/>
  <c r="L530" i="2"/>
  <c r="M530" i="2" s="1"/>
  <c r="L531" i="2"/>
  <c r="M531" i="2" s="1"/>
  <c r="L532" i="2"/>
  <c r="M532" i="2" s="1"/>
  <c r="L533" i="2"/>
  <c r="M533" i="2" s="1"/>
  <c r="L534" i="2"/>
  <c r="M534" i="2" s="1"/>
  <c r="L535" i="2"/>
  <c r="M535" i="2" s="1"/>
  <c r="L536" i="2"/>
  <c r="M536" i="2" s="1"/>
  <c r="L537" i="2"/>
  <c r="M537" i="2" s="1"/>
  <c r="L538" i="2"/>
  <c r="M538" i="2" s="1"/>
  <c r="L539" i="2"/>
  <c r="M539" i="2" s="1"/>
  <c r="L540" i="2"/>
  <c r="M540" i="2" s="1"/>
  <c r="L541" i="2"/>
  <c r="M541" i="2" s="1"/>
  <c r="L542" i="2"/>
  <c r="M542" i="2" s="1"/>
  <c r="L543" i="2"/>
  <c r="M543" i="2" s="1"/>
  <c r="L544" i="2"/>
  <c r="M544" i="2" s="1"/>
  <c r="L545" i="2"/>
  <c r="M545" i="2" s="1"/>
  <c r="L546" i="2"/>
  <c r="M546" i="2" s="1"/>
  <c r="L547" i="2"/>
  <c r="M547" i="2" s="1"/>
  <c r="L548" i="2"/>
  <c r="M548" i="2" s="1"/>
  <c r="L549" i="2"/>
  <c r="M549" i="2" s="1"/>
  <c r="L550" i="2"/>
  <c r="M550" i="2" s="1"/>
  <c r="L551" i="2"/>
  <c r="M551" i="2" s="1"/>
  <c r="L552" i="2"/>
  <c r="M552" i="2" s="1"/>
  <c r="L553" i="2"/>
  <c r="M553" i="2" s="1"/>
  <c r="L554" i="2"/>
  <c r="M554" i="2" s="1"/>
  <c r="L555" i="2"/>
  <c r="M555" i="2" s="1"/>
  <c r="L556" i="2"/>
  <c r="M556" i="2" s="1"/>
  <c r="L557" i="2"/>
  <c r="M557" i="2" s="1"/>
  <c r="L558" i="2"/>
  <c r="M558" i="2" s="1"/>
  <c r="L559" i="2"/>
  <c r="M559" i="2" s="1"/>
  <c r="L560" i="2"/>
  <c r="M560" i="2" s="1"/>
  <c r="L561" i="2"/>
  <c r="M561" i="2" s="1"/>
  <c r="L562" i="2"/>
  <c r="M562" i="2" s="1"/>
  <c r="L563" i="2"/>
  <c r="M563" i="2" s="1"/>
  <c r="L564" i="2"/>
  <c r="M564" i="2" s="1"/>
  <c r="L565" i="2"/>
  <c r="M565" i="2" s="1"/>
  <c r="L566" i="2"/>
  <c r="M566" i="2" s="1"/>
  <c r="L567" i="2"/>
  <c r="M567" i="2" s="1"/>
  <c r="L568" i="2"/>
  <c r="M568" i="2" s="1"/>
  <c r="L569" i="2"/>
  <c r="M569" i="2" s="1"/>
  <c r="L570" i="2"/>
  <c r="M570" i="2" s="1"/>
  <c r="L571" i="2"/>
  <c r="M571" i="2" s="1"/>
  <c r="L572" i="2"/>
  <c r="M572" i="2" s="1"/>
  <c r="L573" i="2"/>
  <c r="M573" i="2" s="1"/>
  <c r="L574" i="2"/>
  <c r="M574" i="2" s="1"/>
  <c r="L575" i="2"/>
  <c r="M575" i="2" s="1"/>
  <c r="L576" i="2"/>
  <c r="M576" i="2" s="1"/>
  <c r="L577" i="2"/>
  <c r="M577" i="2" s="1"/>
  <c r="L578" i="2"/>
  <c r="M578" i="2" s="1"/>
  <c r="L579" i="2"/>
  <c r="M579" i="2" s="1"/>
  <c r="L580" i="2"/>
  <c r="M580" i="2" s="1"/>
  <c r="L581" i="2"/>
  <c r="M581" i="2" s="1"/>
  <c r="L582" i="2"/>
  <c r="M582" i="2" s="1"/>
  <c r="L583" i="2"/>
  <c r="M583" i="2" s="1"/>
  <c r="L584" i="2"/>
  <c r="M584" i="2" s="1"/>
  <c r="L585" i="2"/>
  <c r="M585" i="2" s="1"/>
  <c r="L586" i="2"/>
  <c r="M586" i="2" s="1"/>
  <c r="L587" i="2"/>
  <c r="M587" i="2" s="1"/>
  <c r="L588" i="2"/>
  <c r="M588" i="2" s="1"/>
  <c r="L589" i="2"/>
  <c r="M589" i="2" s="1"/>
  <c r="L590" i="2"/>
  <c r="M590" i="2" s="1"/>
  <c r="L591" i="2"/>
  <c r="M591" i="2" s="1"/>
  <c r="L592" i="2"/>
  <c r="M592" i="2" s="1"/>
  <c r="L593" i="2"/>
  <c r="M593" i="2" s="1"/>
  <c r="L594" i="2"/>
  <c r="M594" i="2" s="1"/>
  <c r="L595" i="2"/>
  <c r="M595" i="2" s="1"/>
  <c r="L596" i="2"/>
  <c r="M596" i="2" s="1"/>
  <c r="L597" i="2"/>
  <c r="M597" i="2" s="1"/>
  <c r="L598" i="2"/>
  <c r="M598" i="2" s="1"/>
  <c r="L599" i="2"/>
  <c r="M599" i="2" s="1"/>
  <c r="L600" i="2"/>
  <c r="M600" i="2" s="1"/>
  <c r="L601" i="2"/>
  <c r="M601" i="2" s="1"/>
  <c r="L602" i="2"/>
  <c r="M602" i="2" s="1"/>
  <c r="L603" i="2"/>
  <c r="M603" i="2" s="1"/>
  <c r="L604" i="2"/>
  <c r="M604" i="2" s="1"/>
  <c r="L605" i="2"/>
  <c r="M605" i="2" s="1"/>
  <c r="L606" i="2"/>
  <c r="M606" i="2" s="1"/>
  <c r="L607" i="2"/>
  <c r="M607" i="2" s="1"/>
  <c r="L608" i="2"/>
  <c r="M608" i="2" s="1"/>
  <c r="L609" i="2"/>
  <c r="M609" i="2" s="1"/>
  <c r="L610" i="2"/>
  <c r="M610" i="2" s="1"/>
  <c r="L611" i="2"/>
  <c r="M611" i="2" s="1"/>
  <c r="L612" i="2"/>
  <c r="M612" i="2" s="1"/>
  <c r="L613" i="2"/>
  <c r="M613" i="2" s="1"/>
  <c r="L614" i="2"/>
  <c r="M614" i="2" s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D3" i="2"/>
  <c r="E3" i="2" s="1"/>
  <c r="F3" i="2" s="1"/>
  <c r="D4" i="2"/>
  <c r="E4" i="2" s="1"/>
  <c r="F4" i="2" s="1"/>
  <c r="D5" i="2"/>
  <c r="E5" i="2" s="1"/>
  <c r="F5" i="2" s="1"/>
  <c r="D6" i="2"/>
  <c r="E6" i="2" s="1"/>
  <c r="F6" i="2" s="1"/>
  <c r="D7" i="2"/>
  <c r="E7" i="2" s="1"/>
  <c r="F7" i="2" s="1"/>
  <c r="D8" i="2"/>
  <c r="E8" i="2" s="1"/>
  <c r="F8" i="2" s="1"/>
  <c r="D9" i="2"/>
  <c r="E9" i="2" s="1"/>
  <c r="F9" i="2" s="1"/>
  <c r="D10" i="2"/>
  <c r="E10" i="2" s="1"/>
  <c r="F10" i="2" s="1"/>
  <c r="D11" i="2"/>
  <c r="E11" i="2" s="1"/>
  <c r="F11" i="2" s="1"/>
  <c r="D12" i="2"/>
  <c r="E12" i="2" s="1"/>
  <c r="F12" i="2" s="1"/>
  <c r="D13" i="2"/>
  <c r="E13" i="2" s="1"/>
  <c r="F13" i="2" s="1"/>
  <c r="D14" i="2"/>
  <c r="E14" i="2" s="1"/>
  <c r="F14" i="2" s="1"/>
  <c r="D15" i="2"/>
  <c r="E15" i="2" s="1"/>
  <c r="F15" i="2" s="1"/>
  <c r="D16" i="2"/>
  <c r="E16" i="2" s="1"/>
  <c r="F16" i="2" s="1"/>
  <c r="D17" i="2"/>
  <c r="E17" i="2" s="1"/>
  <c r="F17" i="2" s="1"/>
  <c r="D18" i="2"/>
  <c r="E18" i="2" s="1"/>
  <c r="F18" i="2" s="1"/>
  <c r="D19" i="2"/>
  <c r="E19" i="2" s="1"/>
  <c r="F19" i="2" s="1"/>
  <c r="D20" i="2"/>
  <c r="E20" i="2" s="1"/>
  <c r="F20" i="2" s="1"/>
  <c r="D21" i="2"/>
  <c r="E21" i="2" s="1"/>
  <c r="F21" i="2" s="1"/>
  <c r="D22" i="2"/>
  <c r="E22" i="2" s="1"/>
  <c r="F22" i="2" s="1"/>
  <c r="D23" i="2"/>
  <c r="E23" i="2" s="1"/>
  <c r="F23" i="2" s="1"/>
  <c r="D24" i="2"/>
  <c r="E24" i="2" s="1"/>
  <c r="F24" i="2" s="1"/>
  <c r="D25" i="2"/>
  <c r="E25" i="2" s="1"/>
  <c r="F25" i="2" s="1"/>
  <c r="D26" i="2"/>
  <c r="E26" i="2" s="1"/>
  <c r="F26" i="2" s="1"/>
  <c r="D27" i="2"/>
  <c r="E27" i="2" s="1"/>
  <c r="F27" i="2" s="1"/>
  <c r="D28" i="2"/>
  <c r="E28" i="2" s="1"/>
  <c r="F28" i="2" s="1"/>
  <c r="D29" i="2"/>
  <c r="E29" i="2" s="1"/>
  <c r="F29" i="2" s="1"/>
  <c r="D30" i="2"/>
  <c r="E30" i="2" s="1"/>
  <c r="F30" i="2" s="1"/>
  <c r="D31" i="2"/>
  <c r="E31" i="2" s="1"/>
  <c r="F31" i="2" s="1"/>
  <c r="D32" i="2"/>
  <c r="E32" i="2" s="1"/>
  <c r="F32" i="2" s="1"/>
  <c r="D33" i="2"/>
  <c r="E33" i="2" s="1"/>
  <c r="F33" i="2" s="1"/>
  <c r="D34" i="2"/>
  <c r="E34" i="2" s="1"/>
  <c r="F34" i="2" s="1"/>
  <c r="D35" i="2"/>
  <c r="E35" i="2" s="1"/>
  <c r="F35" i="2" s="1"/>
  <c r="D36" i="2"/>
  <c r="E36" i="2" s="1"/>
  <c r="F36" i="2" s="1"/>
  <c r="D37" i="2"/>
  <c r="E37" i="2" s="1"/>
  <c r="F37" i="2" s="1"/>
  <c r="D38" i="2"/>
  <c r="E38" i="2" s="1"/>
  <c r="F38" i="2" s="1"/>
  <c r="D39" i="2"/>
  <c r="E39" i="2" s="1"/>
  <c r="F39" i="2" s="1"/>
  <c r="D40" i="2"/>
  <c r="E40" i="2" s="1"/>
  <c r="F40" i="2" s="1"/>
  <c r="D41" i="2"/>
  <c r="E41" i="2" s="1"/>
  <c r="F41" i="2" s="1"/>
  <c r="D42" i="2"/>
  <c r="E42" i="2" s="1"/>
  <c r="F42" i="2" s="1"/>
  <c r="D43" i="2"/>
  <c r="E43" i="2" s="1"/>
  <c r="F43" i="2" s="1"/>
  <c r="D44" i="2"/>
  <c r="E44" i="2" s="1"/>
  <c r="F44" i="2" s="1"/>
  <c r="D45" i="2"/>
  <c r="E45" i="2" s="1"/>
  <c r="F45" i="2" s="1"/>
  <c r="D46" i="2"/>
  <c r="E46" i="2" s="1"/>
  <c r="F46" i="2" s="1"/>
  <c r="D47" i="2"/>
  <c r="E47" i="2" s="1"/>
  <c r="F47" i="2" s="1"/>
  <c r="D48" i="2"/>
  <c r="E48" i="2" s="1"/>
  <c r="F48" i="2" s="1"/>
  <c r="D49" i="2"/>
  <c r="E49" i="2" s="1"/>
  <c r="F49" i="2" s="1"/>
  <c r="D50" i="2"/>
  <c r="E50" i="2" s="1"/>
  <c r="F50" i="2" s="1"/>
  <c r="D51" i="2"/>
  <c r="E51" i="2" s="1"/>
  <c r="F51" i="2" s="1"/>
  <c r="D52" i="2"/>
  <c r="E52" i="2" s="1"/>
  <c r="F52" i="2" s="1"/>
  <c r="D53" i="2"/>
  <c r="E53" i="2" s="1"/>
  <c r="F53" i="2" s="1"/>
  <c r="D54" i="2"/>
  <c r="E54" i="2" s="1"/>
  <c r="F54" i="2" s="1"/>
  <c r="D55" i="2"/>
  <c r="E55" i="2" s="1"/>
  <c r="F55" i="2" s="1"/>
  <c r="D56" i="2"/>
  <c r="E56" i="2" s="1"/>
  <c r="F56" i="2" s="1"/>
  <c r="D57" i="2"/>
  <c r="E57" i="2" s="1"/>
  <c r="F57" i="2" s="1"/>
  <c r="D58" i="2"/>
  <c r="E58" i="2" s="1"/>
  <c r="F58" i="2" s="1"/>
  <c r="D59" i="2"/>
  <c r="E59" i="2" s="1"/>
  <c r="F59" i="2" s="1"/>
  <c r="D60" i="2"/>
  <c r="E60" i="2" s="1"/>
  <c r="F60" i="2" s="1"/>
  <c r="D61" i="2"/>
  <c r="E61" i="2" s="1"/>
  <c r="F61" i="2" s="1"/>
  <c r="D62" i="2"/>
  <c r="E62" i="2" s="1"/>
  <c r="F62" i="2" s="1"/>
  <c r="D63" i="2"/>
  <c r="E63" i="2" s="1"/>
  <c r="F63" i="2" s="1"/>
  <c r="D64" i="2"/>
  <c r="E64" i="2" s="1"/>
  <c r="F64" i="2" s="1"/>
  <c r="D65" i="2"/>
  <c r="E65" i="2" s="1"/>
  <c r="F65" i="2" s="1"/>
  <c r="D66" i="2"/>
  <c r="E66" i="2" s="1"/>
  <c r="F66" i="2" s="1"/>
  <c r="D67" i="2"/>
  <c r="E67" i="2" s="1"/>
  <c r="F67" i="2" s="1"/>
  <c r="D68" i="2"/>
  <c r="E68" i="2" s="1"/>
  <c r="F68" i="2" s="1"/>
  <c r="D69" i="2"/>
  <c r="E69" i="2" s="1"/>
  <c r="F69" i="2" s="1"/>
  <c r="D70" i="2"/>
  <c r="E70" i="2" s="1"/>
  <c r="F70" i="2" s="1"/>
  <c r="D71" i="2"/>
  <c r="E71" i="2" s="1"/>
  <c r="F71" i="2" s="1"/>
  <c r="D72" i="2"/>
  <c r="E72" i="2" s="1"/>
  <c r="F72" i="2" s="1"/>
  <c r="D73" i="2"/>
  <c r="E73" i="2" s="1"/>
  <c r="F73" i="2" s="1"/>
  <c r="D74" i="2"/>
  <c r="E74" i="2" s="1"/>
  <c r="F74" i="2" s="1"/>
  <c r="D75" i="2"/>
  <c r="E75" i="2" s="1"/>
  <c r="F75" i="2" s="1"/>
  <c r="D76" i="2"/>
  <c r="E76" i="2" s="1"/>
  <c r="F76" i="2" s="1"/>
  <c r="D77" i="2"/>
  <c r="E77" i="2" s="1"/>
  <c r="F77" i="2" s="1"/>
  <c r="D78" i="2"/>
  <c r="E78" i="2" s="1"/>
  <c r="F78" i="2" s="1"/>
  <c r="D79" i="2"/>
  <c r="E79" i="2" s="1"/>
  <c r="F79" i="2" s="1"/>
  <c r="D80" i="2"/>
  <c r="E80" i="2" s="1"/>
  <c r="F80" i="2" s="1"/>
  <c r="D81" i="2"/>
  <c r="E81" i="2" s="1"/>
  <c r="F81" i="2" s="1"/>
  <c r="D82" i="2"/>
  <c r="E82" i="2" s="1"/>
  <c r="F82" i="2" s="1"/>
  <c r="D83" i="2"/>
  <c r="E83" i="2" s="1"/>
  <c r="F83" i="2" s="1"/>
  <c r="D84" i="2"/>
  <c r="E84" i="2" s="1"/>
  <c r="F84" i="2" s="1"/>
  <c r="D85" i="2"/>
  <c r="E85" i="2" s="1"/>
  <c r="F85" i="2" s="1"/>
  <c r="D86" i="2"/>
  <c r="E86" i="2" s="1"/>
  <c r="F86" i="2" s="1"/>
  <c r="D87" i="2"/>
  <c r="E87" i="2" s="1"/>
  <c r="F87" i="2" s="1"/>
  <c r="D88" i="2"/>
  <c r="E88" i="2" s="1"/>
  <c r="F88" i="2" s="1"/>
  <c r="D89" i="2"/>
  <c r="E89" i="2" s="1"/>
  <c r="F89" i="2" s="1"/>
  <c r="D90" i="2"/>
  <c r="E90" i="2" s="1"/>
  <c r="F90" i="2" s="1"/>
  <c r="D91" i="2"/>
  <c r="E91" i="2" s="1"/>
  <c r="F91" i="2" s="1"/>
  <c r="D92" i="2"/>
  <c r="E92" i="2" s="1"/>
  <c r="F92" i="2" s="1"/>
  <c r="D93" i="2"/>
  <c r="E93" i="2" s="1"/>
  <c r="F93" i="2" s="1"/>
  <c r="D94" i="2"/>
  <c r="E94" i="2" s="1"/>
  <c r="F94" i="2" s="1"/>
  <c r="D95" i="2"/>
  <c r="E95" i="2" s="1"/>
  <c r="F95" i="2" s="1"/>
  <c r="D96" i="2"/>
  <c r="E96" i="2" s="1"/>
  <c r="F96" i="2" s="1"/>
  <c r="D97" i="2"/>
  <c r="E97" i="2" s="1"/>
  <c r="F97" i="2" s="1"/>
  <c r="D98" i="2"/>
  <c r="E98" i="2" s="1"/>
  <c r="F98" i="2" s="1"/>
  <c r="D99" i="2"/>
  <c r="E99" i="2" s="1"/>
  <c r="F99" i="2" s="1"/>
  <c r="D100" i="2"/>
  <c r="E100" i="2" s="1"/>
  <c r="F100" i="2" s="1"/>
  <c r="D101" i="2"/>
  <c r="E101" i="2" s="1"/>
  <c r="F101" i="2" s="1"/>
  <c r="D102" i="2"/>
  <c r="E102" i="2" s="1"/>
  <c r="F102" i="2" s="1"/>
  <c r="D103" i="2"/>
  <c r="E103" i="2" s="1"/>
  <c r="F103" i="2" s="1"/>
  <c r="D104" i="2"/>
  <c r="E104" i="2" s="1"/>
  <c r="F104" i="2" s="1"/>
  <c r="D105" i="2"/>
  <c r="E105" i="2" s="1"/>
  <c r="F105" i="2" s="1"/>
  <c r="D106" i="2"/>
  <c r="E106" i="2" s="1"/>
  <c r="F106" i="2" s="1"/>
  <c r="D107" i="2"/>
  <c r="E107" i="2" s="1"/>
  <c r="F107" i="2" s="1"/>
  <c r="D108" i="2"/>
  <c r="E108" i="2" s="1"/>
  <c r="F108" i="2" s="1"/>
  <c r="D109" i="2"/>
  <c r="E109" i="2" s="1"/>
  <c r="F109" i="2" s="1"/>
  <c r="D110" i="2"/>
  <c r="E110" i="2" s="1"/>
  <c r="F110" i="2" s="1"/>
  <c r="D111" i="2"/>
  <c r="E111" i="2" s="1"/>
  <c r="F111" i="2" s="1"/>
  <c r="D112" i="2"/>
  <c r="E112" i="2" s="1"/>
  <c r="F112" i="2" s="1"/>
  <c r="D113" i="2"/>
  <c r="E113" i="2" s="1"/>
  <c r="F113" i="2" s="1"/>
  <c r="D114" i="2"/>
  <c r="E114" i="2" s="1"/>
  <c r="F114" i="2" s="1"/>
  <c r="D115" i="2"/>
  <c r="E115" i="2" s="1"/>
  <c r="F115" i="2" s="1"/>
  <c r="D116" i="2"/>
  <c r="E116" i="2" s="1"/>
  <c r="F116" i="2" s="1"/>
  <c r="D117" i="2"/>
  <c r="E117" i="2" s="1"/>
  <c r="F117" i="2" s="1"/>
  <c r="D118" i="2"/>
  <c r="E118" i="2" s="1"/>
  <c r="F118" i="2" s="1"/>
  <c r="D119" i="2"/>
  <c r="E119" i="2" s="1"/>
  <c r="F119" i="2" s="1"/>
  <c r="D120" i="2"/>
  <c r="E120" i="2" s="1"/>
  <c r="F120" i="2" s="1"/>
  <c r="D121" i="2"/>
  <c r="E121" i="2" s="1"/>
  <c r="F121" i="2" s="1"/>
  <c r="D122" i="2"/>
  <c r="E122" i="2" s="1"/>
  <c r="F122" i="2" s="1"/>
  <c r="D123" i="2"/>
  <c r="E123" i="2" s="1"/>
  <c r="F123" i="2" s="1"/>
  <c r="D124" i="2"/>
  <c r="E124" i="2" s="1"/>
  <c r="F124" i="2" s="1"/>
  <c r="D125" i="2"/>
  <c r="E125" i="2" s="1"/>
  <c r="F125" i="2" s="1"/>
  <c r="D126" i="2"/>
  <c r="E126" i="2" s="1"/>
  <c r="F126" i="2" s="1"/>
  <c r="D127" i="2"/>
  <c r="E127" i="2" s="1"/>
  <c r="F127" i="2" s="1"/>
  <c r="D128" i="2"/>
  <c r="E128" i="2" s="1"/>
  <c r="F128" i="2" s="1"/>
  <c r="D129" i="2"/>
  <c r="E129" i="2" s="1"/>
  <c r="F129" i="2" s="1"/>
  <c r="D130" i="2"/>
  <c r="E130" i="2" s="1"/>
  <c r="F130" i="2" s="1"/>
  <c r="D131" i="2"/>
  <c r="E131" i="2" s="1"/>
  <c r="F131" i="2" s="1"/>
  <c r="D132" i="2"/>
  <c r="E132" i="2" s="1"/>
  <c r="F132" i="2" s="1"/>
  <c r="D133" i="2"/>
  <c r="E133" i="2" s="1"/>
  <c r="F133" i="2" s="1"/>
  <c r="D134" i="2"/>
  <c r="E134" i="2" s="1"/>
  <c r="F134" i="2" s="1"/>
  <c r="D135" i="2"/>
  <c r="E135" i="2" s="1"/>
  <c r="F135" i="2" s="1"/>
  <c r="D136" i="2"/>
  <c r="E136" i="2" s="1"/>
  <c r="F136" i="2" s="1"/>
  <c r="D137" i="2"/>
  <c r="E137" i="2" s="1"/>
  <c r="F137" i="2" s="1"/>
  <c r="D138" i="2"/>
  <c r="E138" i="2" s="1"/>
  <c r="F138" i="2" s="1"/>
  <c r="D139" i="2"/>
  <c r="E139" i="2" s="1"/>
  <c r="F139" i="2" s="1"/>
  <c r="D140" i="2"/>
  <c r="E140" i="2" s="1"/>
  <c r="F140" i="2" s="1"/>
  <c r="D141" i="2"/>
  <c r="E141" i="2" s="1"/>
  <c r="F141" i="2" s="1"/>
  <c r="D142" i="2"/>
  <c r="E142" i="2" s="1"/>
  <c r="F142" i="2" s="1"/>
  <c r="D143" i="2"/>
  <c r="E143" i="2" s="1"/>
  <c r="F143" i="2" s="1"/>
  <c r="D144" i="2"/>
  <c r="E144" i="2" s="1"/>
  <c r="F144" i="2" s="1"/>
  <c r="D145" i="2"/>
  <c r="E145" i="2" s="1"/>
  <c r="F145" i="2" s="1"/>
  <c r="D146" i="2"/>
  <c r="E146" i="2" s="1"/>
  <c r="F146" i="2" s="1"/>
  <c r="D147" i="2"/>
  <c r="E147" i="2" s="1"/>
  <c r="F147" i="2" s="1"/>
  <c r="D148" i="2"/>
  <c r="E148" i="2" s="1"/>
  <c r="F148" i="2" s="1"/>
  <c r="D149" i="2"/>
  <c r="E149" i="2" s="1"/>
  <c r="F149" i="2" s="1"/>
  <c r="D150" i="2"/>
  <c r="E150" i="2" s="1"/>
  <c r="F150" i="2" s="1"/>
  <c r="D151" i="2"/>
  <c r="E151" i="2" s="1"/>
  <c r="F151" i="2" s="1"/>
  <c r="D152" i="2"/>
  <c r="E152" i="2" s="1"/>
  <c r="F152" i="2" s="1"/>
  <c r="D153" i="2"/>
  <c r="E153" i="2" s="1"/>
  <c r="F153" i="2" s="1"/>
  <c r="D154" i="2"/>
  <c r="E154" i="2" s="1"/>
  <c r="F154" i="2" s="1"/>
  <c r="D155" i="2"/>
  <c r="E155" i="2" s="1"/>
  <c r="F155" i="2" s="1"/>
  <c r="D156" i="2"/>
  <c r="E156" i="2" s="1"/>
  <c r="F156" i="2" s="1"/>
  <c r="D157" i="2"/>
  <c r="E157" i="2" s="1"/>
  <c r="F157" i="2" s="1"/>
  <c r="D158" i="2"/>
  <c r="E158" i="2" s="1"/>
  <c r="F158" i="2" s="1"/>
  <c r="D159" i="2"/>
  <c r="E159" i="2" s="1"/>
  <c r="F159" i="2" s="1"/>
  <c r="D160" i="2"/>
  <c r="E160" i="2" s="1"/>
  <c r="F160" i="2" s="1"/>
  <c r="D161" i="2"/>
  <c r="E161" i="2" s="1"/>
  <c r="F161" i="2" s="1"/>
  <c r="D162" i="2"/>
  <c r="E162" i="2" s="1"/>
  <c r="F162" i="2" s="1"/>
  <c r="D163" i="2"/>
  <c r="E163" i="2" s="1"/>
  <c r="F163" i="2" s="1"/>
  <c r="D164" i="2"/>
  <c r="E164" i="2" s="1"/>
  <c r="F164" i="2" s="1"/>
  <c r="D165" i="2"/>
  <c r="E165" i="2" s="1"/>
  <c r="F165" i="2" s="1"/>
  <c r="D166" i="2"/>
  <c r="E166" i="2" s="1"/>
  <c r="F166" i="2" s="1"/>
  <c r="D167" i="2"/>
  <c r="E167" i="2" s="1"/>
  <c r="F167" i="2" s="1"/>
  <c r="D168" i="2"/>
  <c r="E168" i="2" s="1"/>
  <c r="F168" i="2" s="1"/>
  <c r="D169" i="2"/>
  <c r="E169" i="2" s="1"/>
  <c r="F169" i="2" s="1"/>
  <c r="D170" i="2"/>
  <c r="E170" i="2" s="1"/>
  <c r="F170" i="2" s="1"/>
  <c r="D171" i="2"/>
  <c r="E171" i="2" s="1"/>
  <c r="F171" i="2" s="1"/>
  <c r="D172" i="2"/>
  <c r="E172" i="2" s="1"/>
  <c r="F172" i="2" s="1"/>
  <c r="D173" i="2"/>
  <c r="E173" i="2" s="1"/>
  <c r="F173" i="2" s="1"/>
  <c r="D174" i="2"/>
  <c r="E174" i="2" s="1"/>
  <c r="F174" i="2" s="1"/>
  <c r="D175" i="2"/>
  <c r="E175" i="2" s="1"/>
  <c r="F175" i="2" s="1"/>
  <c r="D176" i="2"/>
  <c r="E176" i="2" s="1"/>
  <c r="F176" i="2" s="1"/>
  <c r="D177" i="2"/>
  <c r="E177" i="2" s="1"/>
  <c r="F177" i="2" s="1"/>
  <c r="D178" i="2"/>
  <c r="E178" i="2" s="1"/>
  <c r="F178" i="2" s="1"/>
  <c r="D179" i="2"/>
  <c r="E179" i="2" s="1"/>
  <c r="F179" i="2" s="1"/>
  <c r="D180" i="2"/>
  <c r="E180" i="2" s="1"/>
  <c r="F180" i="2" s="1"/>
  <c r="D181" i="2"/>
  <c r="E181" i="2" s="1"/>
  <c r="F181" i="2" s="1"/>
  <c r="D182" i="2"/>
  <c r="E182" i="2" s="1"/>
  <c r="F182" i="2" s="1"/>
  <c r="D183" i="2"/>
  <c r="E183" i="2" s="1"/>
  <c r="F183" i="2" s="1"/>
  <c r="D184" i="2"/>
  <c r="E184" i="2" s="1"/>
  <c r="F184" i="2" s="1"/>
  <c r="D185" i="2"/>
  <c r="E185" i="2" s="1"/>
  <c r="F185" i="2" s="1"/>
  <c r="D186" i="2"/>
  <c r="E186" i="2" s="1"/>
  <c r="F186" i="2" s="1"/>
  <c r="D187" i="2"/>
  <c r="E187" i="2" s="1"/>
  <c r="F187" i="2" s="1"/>
  <c r="D188" i="2"/>
  <c r="E188" i="2" s="1"/>
  <c r="F188" i="2" s="1"/>
  <c r="D189" i="2"/>
  <c r="E189" i="2" s="1"/>
  <c r="F189" i="2" s="1"/>
  <c r="D190" i="2"/>
  <c r="E190" i="2" s="1"/>
  <c r="F190" i="2" s="1"/>
  <c r="D191" i="2"/>
  <c r="E191" i="2" s="1"/>
  <c r="F191" i="2" s="1"/>
  <c r="D192" i="2"/>
  <c r="E192" i="2" s="1"/>
  <c r="F192" i="2" s="1"/>
  <c r="D193" i="2"/>
  <c r="E193" i="2" s="1"/>
  <c r="F193" i="2" s="1"/>
  <c r="D194" i="2"/>
  <c r="E194" i="2" s="1"/>
  <c r="F194" i="2" s="1"/>
  <c r="D195" i="2"/>
  <c r="E195" i="2" s="1"/>
  <c r="F195" i="2" s="1"/>
  <c r="D196" i="2"/>
  <c r="E196" i="2" s="1"/>
  <c r="F196" i="2" s="1"/>
  <c r="D197" i="2"/>
  <c r="E197" i="2" s="1"/>
  <c r="F197" i="2" s="1"/>
  <c r="D198" i="2"/>
  <c r="E198" i="2" s="1"/>
  <c r="F198" i="2" s="1"/>
  <c r="D199" i="2"/>
  <c r="E199" i="2" s="1"/>
  <c r="F199" i="2" s="1"/>
  <c r="D200" i="2"/>
  <c r="E200" i="2" s="1"/>
  <c r="F200" i="2" s="1"/>
  <c r="D201" i="2"/>
  <c r="E201" i="2" s="1"/>
  <c r="F201" i="2" s="1"/>
  <c r="D202" i="2"/>
  <c r="E202" i="2" s="1"/>
  <c r="F202" i="2" s="1"/>
  <c r="D203" i="2"/>
  <c r="E203" i="2" s="1"/>
  <c r="F203" i="2" s="1"/>
  <c r="D204" i="2"/>
  <c r="E204" i="2" s="1"/>
  <c r="F204" i="2" s="1"/>
  <c r="D205" i="2"/>
  <c r="E205" i="2" s="1"/>
  <c r="F205" i="2" s="1"/>
  <c r="D206" i="2"/>
  <c r="E206" i="2" s="1"/>
  <c r="F206" i="2" s="1"/>
  <c r="D207" i="2"/>
  <c r="E207" i="2" s="1"/>
  <c r="F207" i="2" s="1"/>
  <c r="D208" i="2"/>
  <c r="E208" i="2" s="1"/>
  <c r="F208" i="2" s="1"/>
  <c r="D209" i="2"/>
  <c r="E209" i="2" s="1"/>
  <c r="F209" i="2" s="1"/>
  <c r="D210" i="2"/>
  <c r="E210" i="2" s="1"/>
  <c r="F210" i="2" s="1"/>
  <c r="D211" i="2"/>
  <c r="E211" i="2" s="1"/>
  <c r="F211" i="2" s="1"/>
  <c r="D212" i="2"/>
  <c r="E212" i="2" s="1"/>
  <c r="F212" i="2" s="1"/>
  <c r="D213" i="2"/>
  <c r="E213" i="2" s="1"/>
  <c r="F213" i="2" s="1"/>
  <c r="D214" i="2"/>
  <c r="E214" i="2" s="1"/>
  <c r="F214" i="2" s="1"/>
  <c r="D215" i="2"/>
  <c r="E215" i="2" s="1"/>
  <c r="F215" i="2" s="1"/>
  <c r="D216" i="2"/>
  <c r="E216" i="2" s="1"/>
  <c r="F216" i="2" s="1"/>
  <c r="D217" i="2"/>
  <c r="E217" i="2" s="1"/>
  <c r="F217" i="2" s="1"/>
  <c r="D218" i="2"/>
  <c r="E218" i="2" s="1"/>
  <c r="F218" i="2" s="1"/>
  <c r="D219" i="2"/>
  <c r="E219" i="2" s="1"/>
  <c r="F219" i="2" s="1"/>
  <c r="D220" i="2"/>
  <c r="E220" i="2" s="1"/>
  <c r="F220" i="2" s="1"/>
  <c r="D221" i="2"/>
  <c r="E221" i="2" s="1"/>
  <c r="F221" i="2" s="1"/>
  <c r="D222" i="2"/>
  <c r="E222" i="2" s="1"/>
  <c r="F222" i="2" s="1"/>
  <c r="D223" i="2"/>
  <c r="E223" i="2" s="1"/>
  <c r="F223" i="2" s="1"/>
  <c r="D224" i="2"/>
  <c r="E224" i="2" s="1"/>
  <c r="F224" i="2" s="1"/>
  <c r="D225" i="2"/>
  <c r="E225" i="2" s="1"/>
  <c r="F225" i="2" s="1"/>
  <c r="D226" i="2"/>
  <c r="E226" i="2" s="1"/>
  <c r="F226" i="2" s="1"/>
  <c r="D227" i="2"/>
  <c r="E227" i="2" s="1"/>
  <c r="F227" i="2" s="1"/>
  <c r="D228" i="2"/>
  <c r="E228" i="2" s="1"/>
  <c r="F228" i="2" s="1"/>
  <c r="D229" i="2"/>
  <c r="E229" i="2" s="1"/>
  <c r="F229" i="2" s="1"/>
  <c r="D230" i="2"/>
  <c r="E230" i="2" s="1"/>
  <c r="F230" i="2" s="1"/>
  <c r="D231" i="2"/>
  <c r="E231" i="2" s="1"/>
  <c r="F231" i="2" s="1"/>
  <c r="D232" i="2"/>
  <c r="E232" i="2" s="1"/>
  <c r="F232" i="2" s="1"/>
  <c r="D233" i="2"/>
  <c r="E233" i="2" s="1"/>
  <c r="F233" i="2" s="1"/>
  <c r="D234" i="2"/>
  <c r="E234" i="2" s="1"/>
  <c r="F234" i="2" s="1"/>
  <c r="D235" i="2"/>
  <c r="E235" i="2" s="1"/>
  <c r="F235" i="2" s="1"/>
  <c r="D236" i="2"/>
  <c r="E236" i="2" s="1"/>
  <c r="F236" i="2" s="1"/>
  <c r="D237" i="2"/>
  <c r="E237" i="2" s="1"/>
  <c r="F237" i="2" s="1"/>
  <c r="D238" i="2"/>
  <c r="E238" i="2" s="1"/>
  <c r="F238" i="2" s="1"/>
  <c r="D239" i="2"/>
  <c r="E239" i="2" s="1"/>
  <c r="F239" i="2" s="1"/>
  <c r="D240" i="2"/>
  <c r="E240" i="2" s="1"/>
  <c r="F240" i="2" s="1"/>
  <c r="D241" i="2"/>
  <c r="E241" i="2" s="1"/>
  <c r="F241" i="2" s="1"/>
  <c r="D242" i="2"/>
  <c r="E242" i="2" s="1"/>
  <c r="F242" i="2" s="1"/>
  <c r="D243" i="2"/>
  <c r="E243" i="2" s="1"/>
  <c r="F243" i="2" s="1"/>
  <c r="D244" i="2"/>
  <c r="E244" i="2" s="1"/>
  <c r="F244" i="2" s="1"/>
  <c r="D245" i="2"/>
  <c r="E245" i="2" s="1"/>
  <c r="F245" i="2" s="1"/>
  <c r="D246" i="2"/>
  <c r="E246" i="2" s="1"/>
  <c r="F246" i="2" s="1"/>
  <c r="D247" i="2"/>
  <c r="E247" i="2" s="1"/>
  <c r="F247" i="2" s="1"/>
  <c r="D248" i="2"/>
  <c r="E248" i="2" s="1"/>
  <c r="F248" i="2" s="1"/>
  <c r="D249" i="2"/>
  <c r="E249" i="2" s="1"/>
  <c r="F249" i="2" s="1"/>
  <c r="D250" i="2"/>
  <c r="E250" i="2" s="1"/>
  <c r="F250" i="2" s="1"/>
  <c r="D251" i="2"/>
  <c r="E251" i="2" s="1"/>
  <c r="F251" i="2" s="1"/>
  <c r="D252" i="2"/>
  <c r="E252" i="2" s="1"/>
  <c r="F252" i="2" s="1"/>
  <c r="D253" i="2"/>
  <c r="E253" i="2" s="1"/>
  <c r="F253" i="2" s="1"/>
  <c r="D254" i="2"/>
  <c r="E254" i="2" s="1"/>
  <c r="F254" i="2" s="1"/>
  <c r="D255" i="2"/>
  <c r="E255" i="2" s="1"/>
  <c r="F255" i="2" s="1"/>
  <c r="D256" i="2"/>
  <c r="E256" i="2" s="1"/>
  <c r="F256" i="2" s="1"/>
  <c r="D257" i="2"/>
  <c r="E257" i="2" s="1"/>
  <c r="F257" i="2" s="1"/>
  <c r="D258" i="2"/>
  <c r="E258" i="2" s="1"/>
  <c r="F258" i="2" s="1"/>
  <c r="D259" i="2"/>
  <c r="E259" i="2" s="1"/>
  <c r="F259" i="2" s="1"/>
  <c r="D260" i="2"/>
  <c r="E260" i="2" s="1"/>
  <c r="F260" i="2" s="1"/>
  <c r="D261" i="2"/>
  <c r="E261" i="2" s="1"/>
  <c r="F261" i="2" s="1"/>
  <c r="D262" i="2"/>
  <c r="E262" i="2" s="1"/>
  <c r="F262" i="2" s="1"/>
  <c r="D263" i="2"/>
  <c r="E263" i="2" s="1"/>
  <c r="F263" i="2" s="1"/>
  <c r="D264" i="2"/>
  <c r="E264" i="2" s="1"/>
  <c r="F264" i="2" s="1"/>
  <c r="D265" i="2"/>
  <c r="E265" i="2" s="1"/>
  <c r="F265" i="2" s="1"/>
  <c r="D266" i="2"/>
  <c r="E266" i="2" s="1"/>
  <c r="F266" i="2" s="1"/>
  <c r="D267" i="2"/>
  <c r="E267" i="2" s="1"/>
  <c r="F267" i="2" s="1"/>
  <c r="D268" i="2"/>
  <c r="E268" i="2" s="1"/>
  <c r="F268" i="2" s="1"/>
  <c r="D269" i="2"/>
  <c r="E269" i="2" s="1"/>
  <c r="F269" i="2" s="1"/>
  <c r="D270" i="2"/>
  <c r="E270" i="2" s="1"/>
  <c r="F270" i="2" s="1"/>
  <c r="D271" i="2"/>
  <c r="E271" i="2" s="1"/>
  <c r="F271" i="2" s="1"/>
  <c r="D272" i="2"/>
  <c r="E272" i="2" s="1"/>
  <c r="F272" i="2" s="1"/>
  <c r="D273" i="2"/>
  <c r="E273" i="2" s="1"/>
  <c r="F273" i="2" s="1"/>
  <c r="D274" i="2"/>
  <c r="E274" i="2" s="1"/>
  <c r="F274" i="2" s="1"/>
  <c r="D275" i="2"/>
  <c r="E275" i="2" s="1"/>
  <c r="F275" i="2" s="1"/>
  <c r="D276" i="2"/>
  <c r="E276" i="2" s="1"/>
  <c r="F276" i="2" s="1"/>
  <c r="D277" i="2"/>
  <c r="E277" i="2" s="1"/>
  <c r="F277" i="2" s="1"/>
  <c r="D278" i="2"/>
  <c r="E278" i="2" s="1"/>
  <c r="F278" i="2" s="1"/>
  <c r="D279" i="2"/>
  <c r="E279" i="2" s="1"/>
  <c r="F279" i="2" s="1"/>
  <c r="D280" i="2"/>
  <c r="E280" i="2" s="1"/>
  <c r="F280" i="2" s="1"/>
  <c r="D281" i="2"/>
  <c r="E281" i="2" s="1"/>
  <c r="F281" i="2" s="1"/>
  <c r="D282" i="2"/>
  <c r="E282" i="2" s="1"/>
  <c r="F282" i="2" s="1"/>
  <c r="D283" i="2"/>
  <c r="E283" i="2" s="1"/>
  <c r="F283" i="2" s="1"/>
  <c r="D284" i="2"/>
  <c r="E284" i="2" s="1"/>
  <c r="F284" i="2" s="1"/>
  <c r="D285" i="2"/>
  <c r="E285" i="2" s="1"/>
  <c r="F285" i="2" s="1"/>
  <c r="D286" i="2"/>
  <c r="E286" i="2" s="1"/>
  <c r="F286" i="2" s="1"/>
  <c r="D287" i="2"/>
  <c r="E287" i="2" s="1"/>
  <c r="F287" i="2" s="1"/>
  <c r="D288" i="2"/>
  <c r="E288" i="2" s="1"/>
  <c r="F288" i="2" s="1"/>
  <c r="D289" i="2"/>
  <c r="E289" i="2" s="1"/>
  <c r="F289" i="2" s="1"/>
  <c r="D290" i="2"/>
  <c r="E290" i="2" s="1"/>
  <c r="F290" i="2" s="1"/>
  <c r="D291" i="2"/>
  <c r="E291" i="2" s="1"/>
  <c r="F291" i="2" s="1"/>
  <c r="D292" i="2"/>
  <c r="E292" i="2" s="1"/>
  <c r="F292" i="2" s="1"/>
  <c r="D293" i="2"/>
  <c r="E293" i="2" s="1"/>
  <c r="F293" i="2" s="1"/>
  <c r="D294" i="2"/>
  <c r="E294" i="2" s="1"/>
  <c r="F294" i="2" s="1"/>
  <c r="D295" i="2"/>
  <c r="E295" i="2" s="1"/>
  <c r="F295" i="2" s="1"/>
  <c r="D296" i="2"/>
  <c r="E296" i="2" s="1"/>
  <c r="F296" i="2" s="1"/>
  <c r="D297" i="2"/>
  <c r="E297" i="2" s="1"/>
  <c r="F297" i="2" s="1"/>
  <c r="D298" i="2"/>
  <c r="E298" i="2" s="1"/>
  <c r="F298" i="2" s="1"/>
  <c r="D299" i="2"/>
  <c r="E299" i="2" s="1"/>
  <c r="F299" i="2" s="1"/>
  <c r="D300" i="2"/>
  <c r="E300" i="2" s="1"/>
  <c r="F300" i="2" s="1"/>
  <c r="D301" i="2"/>
  <c r="E301" i="2" s="1"/>
  <c r="F301" i="2" s="1"/>
  <c r="D302" i="2"/>
  <c r="E302" i="2" s="1"/>
  <c r="F302" i="2" s="1"/>
  <c r="D303" i="2"/>
  <c r="E303" i="2" s="1"/>
  <c r="F303" i="2" s="1"/>
  <c r="D304" i="2"/>
  <c r="E304" i="2" s="1"/>
  <c r="F304" i="2" s="1"/>
  <c r="D305" i="2"/>
  <c r="E305" i="2" s="1"/>
  <c r="F305" i="2" s="1"/>
  <c r="D306" i="2"/>
  <c r="E306" i="2" s="1"/>
  <c r="F306" i="2" s="1"/>
  <c r="D307" i="2"/>
  <c r="E307" i="2" s="1"/>
  <c r="F307" i="2" s="1"/>
  <c r="D308" i="2"/>
  <c r="E308" i="2" s="1"/>
  <c r="F308" i="2" s="1"/>
  <c r="D309" i="2"/>
  <c r="E309" i="2" s="1"/>
  <c r="F309" i="2" s="1"/>
  <c r="D310" i="2"/>
  <c r="E310" i="2" s="1"/>
  <c r="F310" i="2" s="1"/>
  <c r="D311" i="2"/>
  <c r="E311" i="2" s="1"/>
  <c r="F311" i="2" s="1"/>
  <c r="D312" i="2"/>
  <c r="E312" i="2" s="1"/>
  <c r="F312" i="2" s="1"/>
  <c r="D313" i="2"/>
  <c r="E313" i="2" s="1"/>
  <c r="F313" i="2" s="1"/>
  <c r="D314" i="2"/>
  <c r="E314" i="2" s="1"/>
  <c r="F314" i="2" s="1"/>
  <c r="D315" i="2"/>
  <c r="E315" i="2" s="1"/>
  <c r="F315" i="2" s="1"/>
  <c r="D316" i="2"/>
  <c r="E316" i="2" s="1"/>
  <c r="F316" i="2" s="1"/>
  <c r="D317" i="2"/>
  <c r="E317" i="2" s="1"/>
  <c r="F317" i="2" s="1"/>
  <c r="D318" i="2"/>
  <c r="E318" i="2" s="1"/>
  <c r="F318" i="2" s="1"/>
  <c r="D319" i="2"/>
  <c r="E319" i="2" s="1"/>
  <c r="F319" i="2" s="1"/>
  <c r="D320" i="2"/>
  <c r="E320" i="2" s="1"/>
  <c r="F320" i="2" s="1"/>
  <c r="D321" i="2"/>
  <c r="E321" i="2" s="1"/>
  <c r="F321" i="2" s="1"/>
  <c r="D322" i="2"/>
  <c r="E322" i="2" s="1"/>
  <c r="F322" i="2" s="1"/>
  <c r="D323" i="2"/>
  <c r="E323" i="2" s="1"/>
  <c r="F323" i="2" s="1"/>
  <c r="D324" i="2"/>
  <c r="E324" i="2" s="1"/>
  <c r="F324" i="2" s="1"/>
  <c r="D325" i="2"/>
  <c r="E325" i="2" s="1"/>
  <c r="F325" i="2" s="1"/>
  <c r="D326" i="2"/>
  <c r="E326" i="2" s="1"/>
  <c r="F326" i="2" s="1"/>
  <c r="D327" i="2"/>
  <c r="E327" i="2" s="1"/>
  <c r="F327" i="2" s="1"/>
  <c r="D328" i="2"/>
  <c r="E328" i="2" s="1"/>
  <c r="F328" i="2" s="1"/>
  <c r="D329" i="2"/>
  <c r="E329" i="2" s="1"/>
  <c r="F329" i="2" s="1"/>
  <c r="D330" i="2"/>
  <c r="E330" i="2" s="1"/>
  <c r="F330" i="2" s="1"/>
  <c r="D331" i="2"/>
  <c r="E331" i="2" s="1"/>
  <c r="F331" i="2" s="1"/>
  <c r="D332" i="2"/>
  <c r="E332" i="2" s="1"/>
  <c r="F332" i="2" s="1"/>
  <c r="D333" i="2"/>
  <c r="E333" i="2" s="1"/>
  <c r="F333" i="2" s="1"/>
  <c r="D334" i="2"/>
  <c r="E334" i="2" s="1"/>
  <c r="F334" i="2" s="1"/>
  <c r="D335" i="2"/>
  <c r="E335" i="2" s="1"/>
  <c r="F335" i="2" s="1"/>
  <c r="D336" i="2"/>
  <c r="E336" i="2" s="1"/>
  <c r="F336" i="2" s="1"/>
  <c r="D337" i="2"/>
  <c r="E337" i="2" s="1"/>
  <c r="F337" i="2" s="1"/>
  <c r="D338" i="2"/>
  <c r="E338" i="2" s="1"/>
  <c r="F338" i="2" s="1"/>
  <c r="D339" i="2"/>
  <c r="E339" i="2" s="1"/>
  <c r="F339" i="2" s="1"/>
  <c r="D340" i="2"/>
  <c r="E340" i="2" s="1"/>
  <c r="F340" i="2" s="1"/>
  <c r="D341" i="2"/>
  <c r="E341" i="2" s="1"/>
  <c r="F341" i="2" s="1"/>
  <c r="D342" i="2"/>
  <c r="E342" i="2" s="1"/>
  <c r="F342" i="2" s="1"/>
  <c r="D343" i="2"/>
  <c r="E343" i="2" s="1"/>
  <c r="F343" i="2" s="1"/>
  <c r="D344" i="2"/>
  <c r="E344" i="2" s="1"/>
  <c r="F344" i="2" s="1"/>
  <c r="D345" i="2"/>
  <c r="E345" i="2" s="1"/>
  <c r="F345" i="2" s="1"/>
  <c r="D346" i="2"/>
  <c r="E346" i="2" s="1"/>
  <c r="F346" i="2" s="1"/>
  <c r="D347" i="2"/>
  <c r="E347" i="2" s="1"/>
  <c r="F347" i="2" s="1"/>
  <c r="D348" i="2"/>
  <c r="E348" i="2" s="1"/>
  <c r="F348" i="2" s="1"/>
  <c r="D349" i="2"/>
  <c r="E349" i="2" s="1"/>
  <c r="F349" i="2" s="1"/>
  <c r="D350" i="2"/>
  <c r="E350" i="2" s="1"/>
  <c r="F350" i="2" s="1"/>
  <c r="D351" i="2"/>
  <c r="E351" i="2" s="1"/>
  <c r="F351" i="2" s="1"/>
  <c r="D352" i="2"/>
  <c r="E352" i="2" s="1"/>
  <c r="F352" i="2" s="1"/>
  <c r="D353" i="2"/>
  <c r="E353" i="2" s="1"/>
  <c r="F353" i="2" s="1"/>
  <c r="D354" i="2"/>
  <c r="E354" i="2" s="1"/>
  <c r="F354" i="2" s="1"/>
  <c r="D355" i="2"/>
  <c r="E355" i="2" s="1"/>
  <c r="F355" i="2" s="1"/>
  <c r="D356" i="2"/>
  <c r="E356" i="2" s="1"/>
  <c r="F356" i="2" s="1"/>
  <c r="D357" i="2"/>
  <c r="E357" i="2" s="1"/>
  <c r="F357" i="2" s="1"/>
  <c r="D358" i="2"/>
  <c r="E358" i="2" s="1"/>
  <c r="F358" i="2" s="1"/>
  <c r="D359" i="2"/>
  <c r="E359" i="2" s="1"/>
  <c r="F359" i="2" s="1"/>
  <c r="D360" i="2"/>
  <c r="E360" i="2" s="1"/>
  <c r="F360" i="2" s="1"/>
  <c r="D361" i="2"/>
  <c r="E361" i="2" s="1"/>
  <c r="F361" i="2" s="1"/>
  <c r="D362" i="2"/>
  <c r="E362" i="2" s="1"/>
  <c r="F362" i="2" s="1"/>
  <c r="D363" i="2"/>
  <c r="E363" i="2" s="1"/>
  <c r="F363" i="2" s="1"/>
  <c r="D364" i="2"/>
  <c r="E364" i="2" s="1"/>
  <c r="F364" i="2" s="1"/>
  <c r="D365" i="2"/>
  <c r="E365" i="2" s="1"/>
  <c r="F365" i="2" s="1"/>
  <c r="D366" i="2"/>
  <c r="E366" i="2" s="1"/>
  <c r="F366" i="2" s="1"/>
  <c r="D367" i="2"/>
  <c r="E367" i="2" s="1"/>
  <c r="F367" i="2" s="1"/>
  <c r="D368" i="2"/>
  <c r="E368" i="2" s="1"/>
  <c r="F368" i="2" s="1"/>
  <c r="D369" i="2"/>
  <c r="E369" i="2" s="1"/>
  <c r="F369" i="2" s="1"/>
  <c r="D370" i="2"/>
  <c r="E370" i="2" s="1"/>
  <c r="F370" i="2" s="1"/>
  <c r="D371" i="2"/>
  <c r="E371" i="2" s="1"/>
  <c r="F371" i="2" s="1"/>
  <c r="D372" i="2"/>
  <c r="E372" i="2" s="1"/>
  <c r="F372" i="2" s="1"/>
  <c r="D373" i="2"/>
  <c r="E373" i="2" s="1"/>
  <c r="F373" i="2" s="1"/>
  <c r="D374" i="2"/>
  <c r="E374" i="2" s="1"/>
  <c r="F374" i="2" s="1"/>
  <c r="D375" i="2"/>
  <c r="E375" i="2" s="1"/>
  <c r="F375" i="2" s="1"/>
  <c r="D376" i="2"/>
  <c r="E376" i="2" s="1"/>
  <c r="F376" i="2" s="1"/>
  <c r="D377" i="2"/>
  <c r="E377" i="2" s="1"/>
  <c r="F377" i="2" s="1"/>
  <c r="D378" i="2"/>
  <c r="E378" i="2" s="1"/>
  <c r="F378" i="2" s="1"/>
  <c r="D379" i="2"/>
  <c r="E379" i="2" s="1"/>
  <c r="F379" i="2" s="1"/>
  <c r="D380" i="2"/>
  <c r="E380" i="2" s="1"/>
  <c r="F380" i="2" s="1"/>
  <c r="D381" i="2"/>
  <c r="E381" i="2" s="1"/>
  <c r="F381" i="2" s="1"/>
  <c r="D382" i="2"/>
  <c r="E382" i="2" s="1"/>
  <c r="F382" i="2" s="1"/>
  <c r="D383" i="2"/>
  <c r="E383" i="2" s="1"/>
  <c r="F383" i="2" s="1"/>
  <c r="D384" i="2"/>
  <c r="E384" i="2" s="1"/>
  <c r="F384" i="2" s="1"/>
  <c r="D385" i="2"/>
  <c r="E385" i="2" s="1"/>
  <c r="F385" i="2" s="1"/>
  <c r="D386" i="2"/>
  <c r="E386" i="2" s="1"/>
  <c r="F386" i="2" s="1"/>
  <c r="D387" i="2"/>
  <c r="E387" i="2" s="1"/>
  <c r="F387" i="2" s="1"/>
  <c r="D388" i="2"/>
  <c r="E388" i="2" s="1"/>
  <c r="F388" i="2" s="1"/>
  <c r="D389" i="2"/>
  <c r="E389" i="2" s="1"/>
  <c r="F389" i="2" s="1"/>
  <c r="D390" i="2"/>
  <c r="E390" i="2" s="1"/>
  <c r="F390" i="2" s="1"/>
  <c r="D391" i="2"/>
  <c r="E391" i="2" s="1"/>
  <c r="F391" i="2" s="1"/>
  <c r="D392" i="2"/>
  <c r="E392" i="2" s="1"/>
  <c r="F392" i="2" s="1"/>
  <c r="D393" i="2"/>
  <c r="E393" i="2" s="1"/>
  <c r="F393" i="2" s="1"/>
  <c r="D394" i="2"/>
  <c r="E394" i="2" s="1"/>
  <c r="F394" i="2" s="1"/>
  <c r="D395" i="2"/>
  <c r="E395" i="2" s="1"/>
  <c r="F395" i="2" s="1"/>
  <c r="D396" i="2"/>
  <c r="E396" i="2" s="1"/>
  <c r="F396" i="2" s="1"/>
  <c r="D397" i="2"/>
  <c r="E397" i="2" s="1"/>
  <c r="F397" i="2" s="1"/>
  <c r="D398" i="2"/>
  <c r="E398" i="2" s="1"/>
  <c r="F398" i="2" s="1"/>
  <c r="D399" i="2"/>
  <c r="E399" i="2" s="1"/>
  <c r="F399" i="2" s="1"/>
  <c r="D400" i="2"/>
  <c r="E400" i="2" s="1"/>
  <c r="F400" i="2" s="1"/>
  <c r="D401" i="2"/>
  <c r="E401" i="2" s="1"/>
  <c r="F401" i="2" s="1"/>
  <c r="D402" i="2"/>
  <c r="E402" i="2" s="1"/>
  <c r="F402" i="2" s="1"/>
  <c r="D403" i="2"/>
  <c r="E403" i="2" s="1"/>
  <c r="F403" i="2" s="1"/>
  <c r="D404" i="2"/>
  <c r="E404" i="2" s="1"/>
  <c r="F404" i="2" s="1"/>
  <c r="D405" i="2"/>
  <c r="E405" i="2" s="1"/>
  <c r="F405" i="2" s="1"/>
  <c r="D406" i="2"/>
  <c r="E406" i="2" s="1"/>
  <c r="F406" i="2" s="1"/>
  <c r="D407" i="2"/>
  <c r="E407" i="2" s="1"/>
  <c r="F407" i="2" s="1"/>
  <c r="D408" i="2"/>
  <c r="E408" i="2" s="1"/>
  <c r="F408" i="2" s="1"/>
  <c r="D409" i="2"/>
  <c r="E409" i="2" s="1"/>
  <c r="F409" i="2" s="1"/>
  <c r="D410" i="2"/>
  <c r="E410" i="2" s="1"/>
  <c r="F410" i="2" s="1"/>
  <c r="D411" i="2"/>
  <c r="E411" i="2" s="1"/>
  <c r="F411" i="2" s="1"/>
  <c r="D412" i="2"/>
  <c r="E412" i="2" s="1"/>
  <c r="F412" i="2" s="1"/>
  <c r="D413" i="2"/>
  <c r="E413" i="2" s="1"/>
  <c r="F413" i="2" s="1"/>
  <c r="D414" i="2"/>
  <c r="E414" i="2" s="1"/>
  <c r="F414" i="2" s="1"/>
  <c r="D415" i="2"/>
  <c r="E415" i="2" s="1"/>
  <c r="F415" i="2" s="1"/>
  <c r="D416" i="2"/>
  <c r="E416" i="2" s="1"/>
  <c r="F416" i="2" s="1"/>
  <c r="D417" i="2"/>
  <c r="E417" i="2" s="1"/>
  <c r="F417" i="2" s="1"/>
  <c r="D418" i="2"/>
  <c r="E418" i="2" s="1"/>
  <c r="F418" i="2" s="1"/>
  <c r="D419" i="2"/>
  <c r="E419" i="2" s="1"/>
  <c r="F419" i="2" s="1"/>
  <c r="D420" i="2"/>
  <c r="E420" i="2" s="1"/>
  <c r="F420" i="2" s="1"/>
  <c r="D421" i="2"/>
  <c r="E421" i="2" s="1"/>
  <c r="F421" i="2" s="1"/>
  <c r="D422" i="2"/>
  <c r="E422" i="2" s="1"/>
  <c r="F422" i="2" s="1"/>
  <c r="D423" i="2"/>
  <c r="E423" i="2" s="1"/>
  <c r="F423" i="2" s="1"/>
  <c r="D424" i="2"/>
  <c r="E424" i="2" s="1"/>
  <c r="F424" i="2" s="1"/>
  <c r="D425" i="2"/>
  <c r="E425" i="2" s="1"/>
  <c r="F425" i="2" s="1"/>
  <c r="D426" i="2"/>
  <c r="E426" i="2" s="1"/>
  <c r="F426" i="2" s="1"/>
  <c r="D427" i="2"/>
  <c r="E427" i="2" s="1"/>
  <c r="F427" i="2" s="1"/>
  <c r="D428" i="2"/>
  <c r="E428" i="2" s="1"/>
  <c r="F428" i="2" s="1"/>
  <c r="D429" i="2"/>
  <c r="E429" i="2" s="1"/>
  <c r="F429" i="2" s="1"/>
  <c r="D430" i="2"/>
  <c r="E430" i="2" s="1"/>
  <c r="F430" i="2" s="1"/>
  <c r="D431" i="2"/>
  <c r="E431" i="2" s="1"/>
  <c r="F431" i="2" s="1"/>
  <c r="D432" i="2"/>
  <c r="E432" i="2" s="1"/>
  <c r="F432" i="2" s="1"/>
  <c r="D433" i="2"/>
  <c r="E433" i="2" s="1"/>
  <c r="F433" i="2" s="1"/>
  <c r="D434" i="2"/>
  <c r="E434" i="2" s="1"/>
  <c r="F434" i="2" s="1"/>
  <c r="D435" i="2"/>
  <c r="E435" i="2" s="1"/>
  <c r="F435" i="2" s="1"/>
  <c r="D436" i="2"/>
  <c r="E436" i="2" s="1"/>
  <c r="F436" i="2" s="1"/>
  <c r="D437" i="2"/>
  <c r="E437" i="2" s="1"/>
  <c r="F437" i="2" s="1"/>
  <c r="D438" i="2"/>
  <c r="E438" i="2" s="1"/>
  <c r="F438" i="2" s="1"/>
  <c r="D439" i="2"/>
  <c r="E439" i="2" s="1"/>
  <c r="F439" i="2" s="1"/>
  <c r="D440" i="2"/>
  <c r="E440" i="2" s="1"/>
  <c r="F440" i="2" s="1"/>
  <c r="D441" i="2"/>
  <c r="E441" i="2" s="1"/>
  <c r="F441" i="2" s="1"/>
  <c r="D442" i="2"/>
  <c r="E442" i="2" s="1"/>
  <c r="F442" i="2" s="1"/>
  <c r="D443" i="2"/>
  <c r="E443" i="2" s="1"/>
  <c r="F443" i="2" s="1"/>
  <c r="D444" i="2"/>
  <c r="E444" i="2" s="1"/>
  <c r="F444" i="2" s="1"/>
  <c r="D445" i="2"/>
  <c r="E445" i="2" s="1"/>
  <c r="F445" i="2" s="1"/>
  <c r="D446" i="2"/>
  <c r="E446" i="2" s="1"/>
  <c r="F446" i="2" s="1"/>
  <c r="D447" i="2"/>
  <c r="E447" i="2" s="1"/>
  <c r="F447" i="2" s="1"/>
  <c r="D448" i="2"/>
  <c r="E448" i="2" s="1"/>
  <c r="F448" i="2" s="1"/>
  <c r="D449" i="2"/>
  <c r="E449" i="2" s="1"/>
  <c r="F449" i="2" s="1"/>
  <c r="D450" i="2"/>
  <c r="E450" i="2" s="1"/>
  <c r="F450" i="2" s="1"/>
  <c r="D451" i="2"/>
  <c r="E451" i="2" s="1"/>
  <c r="F451" i="2" s="1"/>
  <c r="D452" i="2"/>
  <c r="E452" i="2" s="1"/>
  <c r="F452" i="2" s="1"/>
  <c r="D453" i="2"/>
  <c r="E453" i="2" s="1"/>
  <c r="F453" i="2" s="1"/>
  <c r="D454" i="2"/>
  <c r="E454" i="2" s="1"/>
  <c r="F454" i="2" s="1"/>
  <c r="D455" i="2"/>
  <c r="E455" i="2" s="1"/>
  <c r="F455" i="2" s="1"/>
  <c r="D456" i="2"/>
  <c r="E456" i="2" s="1"/>
  <c r="F456" i="2" s="1"/>
  <c r="D457" i="2"/>
  <c r="E457" i="2" s="1"/>
  <c r="F457" i="2" s="1"/>
  <c r="D458" i="2"/>
  <c r="E458" i="2" s="1"/>
  <c r="F458" i="2" s="1"/>
  <c r="D459" i="2"/>
  <c r="E459" i="2" s="1"/>
  <c r="F459" i="2" s="1"/>
  <c r="D460" i="2"/>
  <c r="E460" i="2" s="1"/>
  <c r="F460" i="2" s="1"/>
  <c r="D461" i="2"/>
  <c r="E461" i="2" s="1"/>
  <c r="F461" i="2" s="1"/>
  <c r="D462" i="2"/>
  <c r="E462" i="2" s="1"/>
  <c r="F462" i="2" s="1"/>
  <c r="D463" i="2"/>
  <c r="E463" i="2" s="1"/>
  <c r="F463" i="2" s="1"/>
  <c r="D464" i="2"/>
  <c r="E464" i="2" s="1"/>
  <c r="F464" i="2" s="1"/>
  <c r="D465" i="2"/>
  <c r="E465" i="2" s="1"/>
  <c r="F465" i="2" s="1"/>
  <c r="D466" i="2"/>
  <c r="E466" i="2" s="1"/>
  <c r="F466" i="2" s="1"/>
  <c r="D467" i="2"/>
  <c r="E467" i="2" s="1"/>
  <c r="F467" i="2" s="1"/>
  <c r="D468" i="2"/>
  <c r="E468" i="2" s="1"/>
  <c r="F468" i="2" s="1"/>
  <c r="D469" i="2"/>
  <c r="E469" i="2" s="1"/>
  <c r="F469" i="2" s="1"/>
  <c r="D470" i="2"/>
  <c r="E470" i="2" s="1"/>
  <c r="F470" i="2" s="1"/>
  <c r="D471" i="2"/>
  <c r="E471" i="2" s="1"/>
  <c r="F471" i="2" s="1"/>
  <c r="D472" i="2"/>
  <c r="E472" i="2" s="1"/>
  <c r="F472" i="2" s="1"/>
  <c r="D473" i="2"/>
  <c r="E473" i="2" s="1"/>
  <c r="F473" i="2" s="1"/>
  <c r="D474" i="2"/>
  <c r="E474" i="2" s="1"/>
  <c r="F474" i="2" s="1"/>
  <c r="D475" i="2"/>
  <c r="E475" i="2" s="1"/>
  <c r="F475" i="2" s="1"/>
  <c r="D476" i="2"/>
  <c r="E476" i="2" s="1"/>
  <c r="F476" i="2" s="1"/>
  <c r="D477" i="2"/>
  <c r="E477" i="2" s="1"/>
  <c r="F477" i="2" s="1"/>
  <c r="D478" i="2"/>
  <c r="E478" i="2" s="1"/>
  <c r="F478" i="2" s="1"/>
  <c r="D479" i="2"/>
  <c r="E479" i="2" s="1"/>
  <c r="F479" i="2" s="1"/>
  <c r="D480" i="2"/>
  <c r="E480" i="2" s="1"/>
  <c r="F480" i="2" s="1"/>
  <c r="D481" i="2"/>
  <c r="E481" i="2" s="1"/>
  <c r="F481" i="2" s="1"/>
  <c r="D482" i="2"/>
  <c r="E482" i="2" s="1"/>
  <c r="F482" i="2" s="1"/>
  <c r="D483" i="2"/>
  <c r="E483" i="2" s="1"/>
  <c r="F483" i="2" s="1"/>
  <c r="D484" i="2"/>
  <c r="E484" i="2" s="1"/>
  <c r="F484" i="2" s="1"/>
  <c r="D485" i="2"/>
  <c r="E485" i="2" s="1"/>
  <c r="F485" i="2" s="1"/>
  <c r="D486" i="2"/>
  <c r="E486" i="2" s="1"/>
  <c r="F486" i="2" s="1"/>
  <c r="D487" i="2"/>
  <c r="E487" i="2" s="1"/>
  <c r="F487" i="2" s="1"/>
  <c r="D488" i="2"/>
  <c r="E488" i="2" s="1"/>
  <c r="F488" i="2" s="1"/>
  <c r="D489" i="2"/>
  <c r="E489" i="2" s="1"/>
  <c r="F489" i="2" s="1"/>
  <c r="D490" i="2"/>
  <c r="E490" i="2" s="1"/>
  <c r="F490" i="2" s="1"/>
  <c r="D491" i="2"/>
  <c r="E491" i="2" s="1"/>
  <c r="F491" i="2" s="1"/>
  <c r="D492" i="2"/>
  <c r="E492" i="2" s="1"/>
  <c r="F492" i="2" s="1"/>
  <c r="D493" i="2"/>
  <c r="E493" i="2" s="1"/>
  <c r="F493" i="2" s="1"/>
  <c r="D494" i="2"/>
  <c r="E494" i="2" s="1"/>
  <c r="F494" i="2" s="1"/>
  <c r="D495" i="2"/>
  <c r="E495" i="2" s="1"/>
  <c r="F495" i="2" s="1"/>
  <c r="D496" i="2"/>
  <c r="E496" i="2" s="1"/>
  <c r="F496" i="2" s="1"/>
  <c r="D497" i="2"/>
  <c r="E497" i="2" s="1"/>
  <c r="F497" i="2" s="1"/>
  <c r="D498" i="2"/>
  <c r="E498" i="2" s="1"/>
  <c r="F498" i="2" s="1"/>
  <c r="D499" i="2"/>
  <c r="E499" i="2" s="1"/>
  <c r="F499" i="2" s="1"/>
  <c r="D500" i="2"/>
  <c r="E500" i="2" s="1"/>
  <c r="F500" i="2" s="1"/>
  <c r="D501" i="2"/>
  <c r="E501" i="2" s="1"/>
  <c r="F501" i="2" s="1"/>
  <c r="D502" i="2"/>
  <c r="E502" i="2" s="1"/>
  <c r="F502" i="2" s="1"/>
  <c r="D503" i="2"/>
  <c r="E503" i="2" s="1"/>
  <c r="F503" i="2" s="1"/>
  <c r="D504" i="2"/>
  <c r="E504" i="2" s="1"/>
  <c r="F504" i="2" s="1"/>
  <c r="D505" i="2"/>
  <c r="E505" i="2" s="1"/>
  <c r="F505" i="2" s="1"/>
  <c r="D506" i="2"/>
  <c r="E506" i="2" s="1"/>
  <c r="F506" i="2" s="1"/>
  <c r="D507" i="2"/>
  <c r="E507" i="2" s="1"/>
  <c r="F507" i="2" s="1"/>
  <c r="D508" i="2"/>
  <c r="E508" i="2" s="1"/>
  <c r="F508" i="2" s="1"/>
  <c r="D509" i="2"/>
  <c r="E509" i="2" s="1"/>
  <c r="F509" i="2" s="1"/>
  <c r="D510" i="2"/>
  <c r="E510" i="2" s="1"/>
  <c r="F510" i="2" s="1"/>
  <c r="D511" i="2"/>
  <c r="E511" i="2" s="1"/>
  <c r="F511" i="2" s="1"/>
  <c r="D512" i="2"/>
  <c r="E512" i="2" s="1"/>
  <c r="F512" i="2" s="1"/>
  <c r="D513" i="2"/>
  <c r="E513" i="2" s="1"/>
  <c r="F513" i="2" s="1"/>
  <c r="D514" i="2"/>
  <c r="E514" i="2" s="1"/>
  <c r="F514" i="2" s="1"/>
  <c r="D515" i="2"/>
  <c r="E515" i="2" s="1"/>
  <c r="F515" i="2" s="1"/>
  <c r="D516" i="2"/>
  <c r="E516" i="2" s="1"/>
  <c r="F516" i="2" s="1"/>
  <c r="D517" i="2"/>
  <c r="E517" i="2" s="1"/>
  <c r="F517" i="2" s="1"/>
  <c r="D518" i="2"/>
  <c r="E518" i="2" s="1"/>
  <c r="F518" i="2" s="1"/>
  <c r="D519" i="2"/>
  <c r="E519" i="2" s="1"/>
  <c r="F519" i="2" s="1"/>
  <c r="D520" i="2"/>
  <c r="E520" i="2" s="1"/>
  <c r="F520" i="2" s="1"/>
  <c r="D521" i="2"/>
  <c r="E521" i="2" s="1"/>
  <c r="F521" i="2" s="1"/>
  <c r="D522" i="2"/>
  <c r="E522" i="2" s="1"/>
  <c r="F522" i="2" s="1"/>
  <c r="D523" i="2"/>
  <c r="E523" i="2" s="1"/>
  <c r="F523" i="2" s="1"/>
  <c r="D524" i="2"/>
  <c r="E524" i="2" s="1"/>
  <c r="F524" i="2" s="1"/>
  <c r="D525" i="2"/>
  <c r="E525" i="2" s="1"/>
  <c r="F525" i="2" s="1"/>
  <c r="D526" i="2"/>
  <c r="E526" i="2" s="1"/>
  <c r="F526" i="2" s="1"/>
  <c r="D527" i="2"/>
  <c r="E527" i="2" s="1"/>
  <c r="F527" i="2" s="1"/>
  <c r="D528" i="2"/>
  <c r="E528" i="2" s="1"/>
  <c r="F528" i="2" s="1"/>
  <c r="D529" i="2"/>
  <c r="E529" i="2" s="1"/>
  <c r="F529" i="2" s="1"/>
  <c r="D530" i="2"/>
  <c r="E530" i="2" s="1"/>
  <c r="F530" i="2" s="1"/>
  <c r="D531" i="2"/>
  <c r="E531" i="2" s="1"/>
  <c r="F531" i="2" s="1"/>
  <c r="D532" i="2"/>
  <c r="E532" i="2" s="1"/>
  <c r="F532" i="2" s="1"/>
  <c r="D533" i="2"/>
  <c r="E533" i="2" s="1"/>
  <c r="F533" i="2" s="1"/>
  <c r="D534" i="2"/>
  <c r="E534" i="2" s="1"/>
  <c r="F534" i="2" s="1"/>
  <c r="D535" i="2"/>
  <c r="E535" i="2" s="1"/>
  <c r="F535" i="2" s="1"/>
  <c r="D536" i="2"/>
  <c r="E536" i="2" s="1"/>
  <c r="F536" i="2" s="1"/>
  <c r="D537" i="2"/>
  <c r="E537" i="2" s="1"/>
  <c r="F537" i="2" s="1"/>
  <c r="D538" i="2"/>
  <c r="E538" i="2" s="1"/>
  <c r="F538" i="2" s="1"/>
  <c r="D539" i="2"/>
  <c r="E539" i="2" s="1"/>
  <c r="F539" i="2" s="1"/>
  <c r="D540" i="2"/>
  <c r="E540" i="2" s="1"/>
  <c r="F540" i="2" s="1"/>
  <c r="D541" i="2"/>
  <c r="E541" i="2" s="1"/>
  <c r="F541" i="2" s="1"/>
  <c r="D542" i="2"/>
  <c r="E542" i="2" s="1"/>
  <c r="F542" i="2" s="1"/>
  <c r="D543" i="2"/>
  <c r="E543" i="2" s="1"/>
  <c r="F543" i="2" s="1"/>
  <c r="D544" i="2"/>
  <c r="E544" i="2" s="1"/>
  <c r="F544" i="2" s="1"/>
  <c r="D545" i="2"/>
  <c r="E545" i="2" s="1"/>
  <c r="F545" i="2" s="1"/>
  <c r="D546" i="2"/>
  <c r="E546" i="2" s="1"/>
  <c r="F546" i="2" s="1"/>
  <c r="D547" i="2"/>
  <c r="E547" i="2" s="1"/>
  <c r="F547" i="2" s="1"/>
  <c r="D548" i="2"/>
  <c r="E548" i="2" s="1"/>
  <c r="F548" i="2" s="1"/>
  <c r="D549" i="2"/>
  <c r="E549" i="2" s="1"/>
  <c r="F549" i="2" s="1"/>
  <c r="D550" i="2"/>
  <c r="E550" i="2" s="1"/>
  <c r="F550" i="2" s="1"/>
  <c r="D551" i="2"/>
  <c r="E551" i="2" s="1"/>
  <c r="F551" i="2" s="1"/>
  <c r="D552" i="2"/>
  <c r="E552" i="2" s="1"/>
  <c r="F552" i="2" s="1"/>
  <c r="D553" i="2"/>
  <c r="E553" i="2" s="1"/>
  <c r="F553" i="2" s="1"/>
  <c r="D554" i="2"/>
  <c r="E554" i="2" s="1"/>
  <c r="F554" i="2" s="1"/>
  <c r="D555" i="2"/>
  <c r="E555" i="2" s="1"/>
  <c r="F555" i="2" s="1"/>
  <c r="D556" i="2"/>
  <c r="E556" i="2" s="1"/>
  <c r="F556" i="2" s="1"/>
  <c r="D557" i="2"/>
  <c r="E557" i="2" s="1"/>
  <c r="F557" i="2" s="1"/>
  <c r="D558" i="2"/>
  <c r="E558" i="2" s="1"/>
  <c r="F558" i="2" s="1"/>
  <c r="D559" i="2"/>
  <c r="E559" i="2" s="1"/>
  <c r="F559" i="2" s="1"/>
  <c r="D560" i="2"/>
  <c r="E560" i="2" s="1"/>
  <c r="F560" i="2" s="1"/>
  <c r="D561" i="2"/>
  <c r="E561" i="2" s="1"/>
  <c r="F561" i="2" s="1"/>
  <c r="D562" i="2"/>
  <c r="E562" i="2" s="1"/>
  <c r="F562" i="2" s="1"/>
  <c r="D563" i="2"/>
  <c r="E563" i="2" s="1"/>
  <c r="F563" i="2" s="1"/>
  <c r="D564" i="2"/>
  <c r="E564" i="2" s="1"/>
  <c r="F564" i="2" s="1"/>
  <c r="D565" i="2"/>
  <c r="E565" i="2" s="1"/>
  <c r="F565" i="2" s="1"/>
  <c r="D566" i="2"/>
  <c r="E566" i="2" s="1"/>
  <c r="F566" i="2" s="1"/>
  <c r="D567" i="2"/>
  <c r="E567" i="2" s="1"/>
  <c r="F567" i="2" s="1"/>
  <c r="D568" i="2"/>
  <c r="E568" i="2" s="1"/>
  <c r="F568" i="2" s="1"/>
  <c r="D569" i="2"/>
  <c r="E569" i="2" s="1"/>
  <c r="F569" i="2" s="1"/>
  <c r="D570" i="2"/>
  <c r="E570" i="2" s="1"/>
  <c r="F570" i="2" s="1"/>
  <c r="D571" i="2"/>
  <c r="E571" i="2" s="1"/>
  <c r="F571" i="2" s="1"/>
  <c r="D572" i="2"/>
  <c r="E572" i="2" s="1"/>
  <c r="F572" i="2" s="1"/>
  <c r="D573" i="2"/>
  <c r="E573" i="2" s="1"/>
  <c r="F573" i="2" s="1"/>
  <c r="D574" i="2"/>
  <c r="E574" i="2" s="1"/>
  <c r="F574" i="2" s="1"/>
  <c r="D575" i="2"/>
  <c r="E575" i="2" s="1"/>
  <c r="F575" i="2" s="1"/>
  <c r="D576" i="2"/>
  <c r="E576" i="2" s="1"/>
  <c r="F576" i="2" s="1"/>
  <c r="D577" i="2"/>
  <c r="E577" i="2" s="1"/>
  <c r="F577" i="2" s="1"/>
  <c r="D578" i="2"/>
  <c r="E578" i="2" s="1"/>
  <c r="F578" i="2" s="1"/>
  <c r="D579" i="2"/>
  <c r="E579" i="2" s="1"/>
  <c r="F579" i="2" s="1"/>
  <c r="D580" i="2"/>
  <c r="E580" i="2" s="1"/>
  <c r="F580" i="2" s="1"/>
  <c r="D581" i="2"/>
  <c r="E581" i="2" s="1"/>
  <c r="F581" i="2" s="1"/>
  <c r="D582" i="2"/>
  <c r="E582" i="2" s="1"/>
  <c r="F582" i="2" s="1"/>
  <c r="D583" i="2"/>
  <c r="E583" i="2" s="1"/>
  <c r="F583" i="2" s="1"/>
  <c r="D584" i="2"/>
  <c r="E584" i="2" s="1"/>
  <c r="F584" i="2" s="1"/>
  <c r="D585" i="2"/>
  <c r="E585" i="2" s="1"/>
  <c r="F585" i="2" s="1"/>
  <c r="D586" i="2"/>
  <c r="E586" i="2" s="1"/>
  <c r="F586" i="2" s="1"/>
  <c r="D587" i="2"/>
  <c r="E587" i="2" s="1"/>
  <c r="F587" i="2" s="1"/>
  <c r="D588" i="2"/>
  <c r="E588" i="2" s="1"/>
  <c r="F588" i="2" s="1"/>
  <c r="D589" i="2"/>
  <c r="E589" i="2" s="1"/>
  <c r="F589" i="2" s="1"/>
  <c r="D590" i="2"/>
  <c r="E590" i="2" s="1"/>
  <c r="F590" i="2" s="1"/>
  <c r="D591" i="2"/>
  <c r="E591" i="2" s="1"/>
  <c r="F591" i="2" s="1"/>
  <c r="D592" i="2"/>
  <c r="E592" i="2" s="1"/>
  <c r="F592" i="2" s="1"/>
  <c r="D593" i="2"/>
  <c r="E593" i="2" s="1"/>
  <c r="F593" i="2" s="1"/>
  <c r="D594" i="2"/>
  <c r="E594" i="2" s="1"/>
  <c r="F594" i="2" s="1"/>
  <c r="D595" i="2"/>
  <c r="E595" i="2" s="1"/>
  <c r="F595" i="2" s="1"/>
  <c r="D596" i="2"/>
  <c r="E596" i="2" s="1"/>
  <c r="F596" i="2" s="1"/>
  <c r="D597" i="2"/>
  <c r="E597" i="2" s="1"/>
  <c r="F597" i="2" s="1"/>
  <c r="D598" i="2"/>
  <c r="E598" i="2" s="1"/>
  <c r="F598" i="2" s="1"/>
  <c r="D599" i="2"/>
  <c r="E599" i="2" s="1"/>
  <c r="F599" i="2" s="1"/>
  <c r="D600" i="2"/>
  <c r="E600" i="2" s="1"/>
  <c r="F600" i="2" s="1"/>
  <c r="D601" i="2"/>
  <c r="E601" i="2" s="1"/>
  <c r="F601" i="2" s="1"/>
  <c r="D602" i="2"/>
  <c r="E602" i="2" s="1"/>
  <c r="F602" i="2" s="1"/>
  <c r="D603" i="2"/>
  <c r="E603" i="2" s="1"/>
  <c r="F603" i="2" s="1"/>
  <c r="D604" i="2"/>
  <c r="E604" i="2" s="1"/>
  <c r="F604" i="2" s="1"/>
  <c r="D605" i="2"/>
  <c r="E605" i="2" s="1"/>
  <c r="F605" i="2" s="1"/>
  <c r="D606" i="2"/>
  <c r="E606" i="2" s="1"/>
  <c r="F606" i="2" s="1"/>
  <c r="D607" i="2"/>
  <c r="E607" i="2" s="1"/>
  <c r="F607" i="2" s="1"/>
  <c r="D608" i="2"/>
  <c r="E608" i="2" s="1"/>
  <c r="F608" i="2" s="1"/>
  <c r="D609" i="2"/>
  <c r="E609" i="2" s="1"/>
  <c r="F609" i="2" s="1"/>
  <c r="D610" i="2"/>
  <c r="E610" i="2" s="1"/>
  <c r="F610" i="2" s="1"/>
  <c r="D611" i="2"/>
  <c r="E611" i="2" s="1"/>
  <c r="F611" i="2" s="1"/>
  <c r="D612" i="2"/>
  <c r="E612" i="2" s="1"/>
  <c r="F612" i="2" s="1"/>
  <c r="D613" i="2"/>
  <c r="E613" i="2" s="1"/>
  <c r="F613" i="2" s="1"/>
  <c r="D614" i="2"/>
  <c r="E614" i="2" s="1"/>
  <c r="F614" i="2" s="1"/>
  <c r="F368" i="1" l="1"/>
  <c r="F367" i="1"/>
  <c r="F366" i="1"/>
  <c r="F365" i="1"/>
  <c r="E364" i="1"/>
  <c r="G364" i="1"/>
  <c r="E369" i="1"/>
  <c r="G369" i="1"/>
  <c r="E368" i="1"/>
  <c r="G368" i="1"/>
  <c r="E367" i="1"/>
  <c r="G367" i="1"/>
  <c r="E366" i="1"/>
  <c r="G366" i="1"/>
  <c r="E365" i="1"/>
  <c r="G365" i="1"/>
  <c r="F364" i="1"/>
  <c r="D354" i="1"/>
  <c r="D353" i="1"/>
  <c r="D352" i="1"/>
  <c r="D351" i="1"/>
  <c r="D350" i="1"/>
  <c r="D349" i="1"/>
  <c r="D355" i="1" s="1"/>
  <c r="F108" i="1"/>
  <c r="E355" i="1"/>
  <c r="F310" i="1"/>
  <c r="C313" i="1"/>
  <c r="C312" i="1"/>
  <c r="B311" i="1"/>
  <c r="F309" i="1"/>
  <c r="D310" i="1"/>
  <c r="D309" i="1"/>
  <c r="D315" i="1"/>
  <c r="C311" i="1"/>
  <c r="F316" i="1"/>
  <c r="E308" i="1"/>
  <c r="E307" i="1"/>
  <c r="F315" i="1"/>
  <c r="D308" i="1"/>
  <c r="E312" i="1"/>
  <c r="D316" i="1"/>
  <c r="F314" i="1"/>
  <c r="B309" i="1"/>
  <c r="C310" i="1"/>
  <c r="E316" i="1"/>
  <c r="F313" i="1"/>
  <c r="B308" i="1"/>
  <c r="C309" i="1"/>
  <c r="E315" i="1"/>
  <c r="F312" i="1"/>
  <c r="B310" i="1"/>
  <c r="F307" i="1"/>
  <c r="C308" i="1"/>
  <c r="E314" i="1"/>
  <c r="F311" i="1"/>
  <c r="B307" i="1"/>
  <c r="D307" i="1"/>
  <c r="B316" i="1"/>
  <c r="C307" i="1"/>
  <c r="D314" i="1"/>
  <c r="E311" i="1"/>
  <c r="F308" i="1"/>
  <c r="B315" i="1"/>
  <c r="C316" i="1"/>
  <c r="D313" i="1"/>
  <c r="E310" i="1"/>
  <c r="E313" i="1"/>
  <c r="B314" i="1"/>
  <c r="C315" i="1"/>
  <c r="D312" i="1"/>
  <c r="E309" i="1"/>
  <c r="B313" i="1"/>
  <c r="C314" i="1"/>
  <c r="D311" i="1"/>
  <c r="B312" i="1"/>
  <c r="B191" i="1"/>
  <c r="C186" i="1"/>
  <c r="G191" i="1"/>
  <c r="C190" i="1"/>
  <c r="E188" i="1"/>
  <c r="E187" i="1"/>
  <c r="G111" i="1"/>
  <c r="B190" i="1"/>
  <c r="C188" i="1"/>
  <c r="F191" i="1"/>
  <c r="C189" i="1"/>
  <c r="B189" i="1"/>
  <c r="C187" i="1"/>
  <c r="F190" i="1"/>
  <c r="B188" i="1"/>
  <c r="D191" i="1"/>
  <c r="F189" i="1"/>
  <c r="B187" i="1"/>
  <c r="D190" i="1"/>
  <c r="F188" i="1"/>
  <c r="G186" i="1"/>
  <c r="D189" i="1"/>
  <c r="F187" i="1"/>
  <c r="F186" i="1"/>
  <c r="D188" i="1"/>
  <c r="G187" i="1"/>
  <c r="E186" i="1"/>
  <c r="D187" i="1"/>
  <c r="G188" i="1"/>
  <c r="D186" i="1"/>
  <c r="E191" i="1"/>
  <c r="G189" i="1"/>
  <c r="E190" i="1"/>
  <c r="G190" i="1"/>
  <c r="C191" i="1"/>
  <c r="E189" i="1"/>
  <c r="B109" i="1"/>
  <c r="B110" i="1"/>
  <c r="D106" i="1"/>
  <c r="B107" i="1"/>
  <c r="G109" i="1"/>
  <c r="D108" i="1"/>
  <c r="F112" i="1"/>
  <c r="E107" i="1"/>
  <c r="F114" i="1"/>
  <c r="E106" i="1"/>
  <c r="E152" i="1"/>
  <c r="G113" i="1"/>
  <c r="B186" i="1"/>
  <c r="G112" i="1"/>
  <c r="B108" i="1"/>
  <c r="C110" i="1"/>
  <c r="D107" i="1"/>
  <c r="F113" i="1"/>
  <c r="G110" i="1"/>
  <c r="E148" i="1"/>
  <c r="E151" i="1"/>
  <c r="C109" i="1"/>
  <c r="D148" i="1"/>
  <c r="E150" i="1"/>
  <c r="B106" i="1"/>
  <c r="C108" i="1"/>
  <c r="E114" i="1"/>
  <c r="F111" i="1"/>
  <c r="G108" i="1"/>
  <c r="C148" i="1"/>
  <c r="E149" i="1"/>
  <c r="G105" i="1"/>
  <c r="C107" i="1"/>
  <c r="E113" i="1"/>
  <c r="F110" i="1"/>
  <c r="G107" i="1"/>
  <c r="C152" i="1"/>
  <c r="F152" i="1"/>
  <c r="F105" i="1"/>
  <c r="C106" i="1"/>
  <c r="E112" i="1"/>
  <c r="F109" i="1"/>
  <c r="G106" i="1"/>
  <c r="C151" i="1"/>
  <c r="F151" i="1"/>
  <c r="E105" i="1"/>
  <c r="D114" i="1"/>
  <c r="E111" i="1"/>
  <c r="B148" i="1"/>
  <c r="C150" i="1"/>
  <c r="F150" i="1"/>
  <c r="B114" i="1"/>
  <c r="D105" i="1"/>
  <c r="D113" i="1"/>
  <c r="E110" i="1"/>
  <c r="F107" i="1"/>
  <c r="B152" i="1"/>
  <c r="C149" i="1"/>
  <c r="F149" i="1"/>
  <c r="B113" i="1"/>
  <c r="C105" i="1"/>
  <c r="D112" i="1"/>
  <c r="E109" i="1"/>
  <c r="F106" i="1"/>
  <c r="B151" i="1"/>
  <c r="D152" i="1"/>
  <c r="G152" i="1"/>
  <c r="B112" i="1"/>
  <c r="C114" i="1"/>
  <c r="D111" i="1"/>
  <c r="E108" i="1"/>
  <c r="G114" i="1"/>
  <c r="B150" i="1"/>
  <c r="D151" i="1"/>
  <c r="G151" i="1"/>
  <c r="B111" i="1"/>
  <c r="C113" i="1"/>
  <c r="D110" i="1"/>
  <c r="B149" i="1"/>
  <c r="D150" i="1"/>
  <c r="G150" i="1"/>
  <c r="C112" i="1"/>
  <c r="D109" i="1"/>
  <c r="G148" i="1"/>
  <c r="D149" i="1"/>
  <c r="G149" i="1"/>
  <c r="C111" i="1"/>
  <c r="F148" i="1"/>
  <c r="B105" i="1"/>
  <c r="F22" i="1"/>
  <c r="F60" i="1"/>
  <c r="D17" i="1"/>
  <c r="D16" i="1"/>
  <c r="B23" i="1"/>
  <c r="C60" i="1"/>
  <c r="B59" i="1"/>
  <c r="C16" i="1"/>
  <c r="E23" i="1"/>
  <c r="D58" i="1"/>
  <c r="C57" i="1"/>
  <c r="D57" i="1"/>
  <c r="C59" i="1"/>
  <c r="D18" i="1"/>
  <c r="B56" i="1"/>
  <c r="D56" i="1"/>
  <c r="C18" i="1"/>
  <c r="B18" i="1"/>
  <c r="C53" i="1"/>
  <c r="E54" i="1"/>
  <c r="F62" i="1"/>
  <c r="F23" i="1"/>
  <c r="B58" i="1"/>
  <c r="B17" i="1"/>
  <c r="C17" i="1"/>
  <c r="E24" i="1"/>
  <c r="F21" i="1"/>
  <c r="B57" i="1"/>
  <c r="C58" i="1"/>
  <c r="D55" i="1"/>
  <c r="F61" i="1"/>
  <c r="B16" i="1"/>
  <c r="F20" i="1"/>
  <c r="D54" i="1"/>
  <c r="F15" i="1"/>
  <c r="C24" i="1"/>
  <c r="E22" i="1"/>
  <c r="F19" i="1"/>
  <c r="B55" i="1"/>
  <c r="C56" i="1"/>
  <c r="E62" i="1"/>
  <c r="F59" i="1"/>
  <c r="E15" i="1"/>
  <c r="D24" i="1"/>
  <c r="E21" i="1"/>
  <c r="F18" i="1"/>
  <c r="B54" i="1"/>
  <c r="C55" i="1"/>
  <c r="E61" i="1"/>
  <c r="F58" i="1"/>
  <c r="B15" i="1"/>
  <c r="D15" i="1"/>
  <c r="D23" i="1"/>
  <c r="E20" i="1"/>
  <c r="F17" i="1"/>
  <c r="F53" i="1"/>
  <c r="C54" i="1"/>
  <c r="E60" i="1"/>
  <c r="F57" i="1"/>
  <c r="B24" i="1"/>
  <c r="C15" i="1"/>
  <c r="D22" i="1"/>
  <c r="E19" i="1"/>
  <c r="F16" i="1"/>
  <c r="E53" i="1"/>
  <c r="D62" i="1"/>
  <c r="E59" i="1"/>
  <c r="F56" i="1"/>
  <c r="C23" i="1"/>
  <c r="D21" i="1"/>
  <c r="E18" i="1"/>
  <c r="B53" i="1"/>
  <c r="D53" i="1"/>
  <c r="D61" i="1"/>
  <c r="E58" i="1"/>
  <c r="F55" i="1"/>
  <c r="B22" i="1"/>
  <c r="C22" i="1"/>
  <c r="D20" i="1"/>
  <c r="E17" i="1"/>
  <c r="B62" i="1"/>
  <c r="D60" i="1"/>
  <c r="E57" i="1"/>
  <c r="F54" i="1"/>
  <c r="B21" i="1"/>
  <c r="C21" i="1"/>
  <c r="D19" i="1"/>
  <c r="E16" i="1"/>
  <c r="B61" i="1"/>
  <c r="C62" i="1"/>
  <c r="D59" i="1"/>
  <c r="E56" i="1"/>
  <c r="B20" i="1"/>
  <c r="C20" i="1"/>
  <c r="F24" i="1"/>
  <c r="B60" i="1"/>
  <c r="C61" i="1"/>
  <c r="E55" i="1"/>
  <c r="B19" i="1"/>
  <c r="C19" i="1"/>
  <c r="F370" i="1" l="1"/>
  <c r="G370" i="1"/>
  <c r="G308" i="1"/>
  <c r="G307" i="1"/>
  <c r="G309" i="1"/>
  <c r="F317" i="1"/>
  <c r="G316" i="1"/>
  <c r="G312" i="1"/>
  <c r="C317" i="1"/>
  <c r="G311" i="1"/>
  <c r="G315" i="1"/>
  <c r="E317" i="1"/>
  <c r="B317" i="1"/>
  <c r="G310" i="1"/>
  <c r="D317" i="1"/>
  <c r="G314" i="1"/>
  <c r="G313" i="1"/>
  <c r="H191" i="1"/>
  <c r="D192" i="1"/>
  <c r="E192" i="1"/>
  <c r="F192" i="1"/>
  <c r="H189" i="1"/>
  <c r="H190" i="1"/>
  <c r="H188" i="1"/>
  <c r="H187" i="1"/>
  <c r="C192" i="1"/>
  <c r="G192" i="1"/>
  <c r="H106" i="1"/>
  <c r="C153" i="1"/>
  <c r="H107" i="1"/>
  <c r="H186" i="1"/>
  <c r="B192" i="1"/>
  <c r="H109" i="1"/>
  <c r="G115" i="1"/>
  <c r="G153" i="1"/>
  <c r="H151" i="1"/>
  <c r="H152" i="1"/>
  <c r="E115" i="1"/>
  <c r="D115" i="1"/>
  <c r="H113" i="1"/>
  <c r="E153" i="1"/>
  <c r="F153" i="1"/>
  <c r="H111" i="1"/>
  <c r="F115" i="1"/>
  <c r="H114" i="1"/>
  <c r="H112" i="1"/>
  <c r="D153" i="1"/>
  <c r="H150" i="1"/>
  <c r="B153" i="1"/>
  <c r="C115" i="1"/>
  <c r="H108" i="1"/>
  <c r="H148" i="1"/>
  <c r="H110" i="1"/>
  <c r="H149" i="1"/>
  <c r="B115" i="1"/>
  <c r="H105" i="1"/>
  <c r="G23" i="1"/>
  <c r="G16" i="1"/>
  <c r="F25" i="1"/>
  <c r="D25" i="1"/>
  <c r="G19" i="1"/>
  <c r="G15" i="1"/>
  <c r="G17" i="1"/>
  <c r="G59" i="1"/>
  <c r="G60" i="1"/>
  <c r="G54" i="1"/>
  <c r="G58" i="1"/>
  <c r="G20" i="1"/>
  <c r="G22" i="1"/>
  <c r="G18" i="1"/>
  <c r="G61" i="1"/>
  <c r="E63" i="1"/>
  <c r="C25" i="1"/>
  <c r="E25" i="1"/>
  <c r="G57" i="1"/>
  <c r="G24" i="1"/>
  <c r="G55" i="1"/>
  <c r="G56" i="1"/>
  <c r="B25" i="1"/>
  <c r="G21" i="1"/>
  <c r="D63" i="1"/>
  <c r="G53" i="1"/>
  <c r="B63" i="1"/>
  <c r="F63" i="1"/>
  <c r="G62" i="1"/>
  <c r="C63" i="1"/>
  <c r="G317" i="1" l="1"/>
  <c r="H192" i="1"/>
  <c r="H153" i="1"/>
  <c r="H115" i="1"/>
  <c r="G25" i="1"/>
  <c r="G63" i="1"/>
</calcChain>
</file>

<file path=xl/sharedStrings.xml><?xml version="1.0" encoding="utf-8"?>
<sst xmlns="http://schemas.openxmlformats.org/spreadsheetml/2006/main" count="1999" uniqueCount="648">
  <si>
    <t>Yaş Kateqoriyaları</t>
  </si>
  <si>
    <t>0=&lt;20</t>
  </si>
  <si>
    <t>20=&lt;30</t>
  </si>
  <si>
    <t>30=&lt;40</t>
  </si>
  <si>
    <t>40=&lt;60</t>
  </si>
  <si>
    <t>60=&lt;…</t>
  </si>
  <si>
    <t>Gəlir/Xərc Kateqoriyaları</t>
  </si>
  <si>
    <t>…&lt;1000 AZN</t>
  </si>
  <si>
    <t>1000=&lt;2000 AZN</t>
  </si>
  <si>
    <t>2000=&lt;3000 AZN</t>
  </si>
  <si>
    <t>3000=&lt;4000 AZN</t>
  </si>
  <si>
    <t>4000=&lt;5000 AZN</t>
  </si>
  <si>
    <t>5000=&lt;… AZN</t>
  </si>
  <si>
    <t>Ad</t>
  </si>
  <si>
    <t>Şəhər</t>
  </si>
  <si>
    <t>Yaş</t>
  </si>
  <si>
    <t>Gəlir</t>
  </si>
  <si>
    <t>Mənsur</t>
  </si>
  <si>
    <t>Hicran</t>
  </si>
  <si>
    <t>Sədaqət</t>
  </si>
  <si>
    <t>Urfan</t>
  </si>
  <si>
    <t>Familə</t>
  </si>
  <si>
    <t>Jalə</t>
  </si>
  <si>
    <t>Ortalama (AVG)</t>
  </si>
  <si>
    <t>Soyad</t>
  </si>
  <si>
    <t>Doğum Tarixi</t>
  </si>
  <si>
    <t>Həsənli</t>
  </si>
  <si>
    <t>Vurğun</t>
  </si>
  <si>
    <t>Mirzəyev</t>
  </si>
  <si>
    <t>Bayramov</t>
  </si>
  <si>
    <t>Bəktaşi</t>
  </si>
  <si>
    <t>Yaş_Kateqoriyası</t>
  </si>
  <si>
    <t>Aylıq_Gəlir</t>
  </si>
  <si>
    <t>Gəlir Kateqoriyası</t>
  </si>
  <si>
    <t>Aylıq_Xərclər</t>
  </si>
  <si>
    <t>Xərc_Kateqoriyası</t>
  </si>
  <si>
    <t>Balans</t>
  </si>
  <si>
    <t>Balans_Növü</t>
  </si>
  <si>
    <t>Lütfiyyə</t>
  </si>
  <si>
    <t>Düzgün</t>
  </si>
  <si>
    <t>Quba</t>
  </si>
  <si>
    <t>Ofeliya</t>
  </si>
  <si>
    <t>Xaçmaz</t>
  </si>
  <si>
    <t>Qənirə</t>
  </si>
  <si>
    <t>Təhmin</t>
  </si>
  <si>
    <t>Tovuz</t>
  </si>
  <si>
    <t>Şükür</t>
  </si>
  <si>
    <t>Aytən</t>
  </si>
  <si>
    <t>Abbasbəyli</t>
  </si>
  <si>
    <t>Qəbələ</t>
  </si>
  <si>
    <t>Mənsurə</t>
  </si>
  <si>
    <t>Dəvəçi</t>
  </si>
  <si>
    <t>Ruhiyyə</t>
  </si>
  <si>
    <t>Şərur</t>
  </si>
  <si>
    <t>Elariz</t>
  </si>
  <si>
    <t>Nihal</t>
  </si>
  <si>
    <t>Talıbzadə</t>
  </si>
  <si>
    <t>Reyhanə</t>
  </si>
  <si>
    <t>Şəki</t>
  </si>
  <si>
    <t>Aidə</t>
  </si>
  <si>
    <t>Lənkəran</t>
  </si>
  <si>
    <t>Hüseyn</t>
  </si>
  <si>
    <t>Tamaşa</t>
  </si>
  <si>
    <t>Gəncə</t>
  </si>
  <si>
    <t>Hafiz</t>
  </si>
  <si>
    <t>Cabbarov</t>
  </si>
  <si>
    <t>Bakı</t>
  </si>
  <si>
    <t>Sevil</t>
  </si>
  <si>
    <t>Laçın</t>
  </si>
  <si>
    <t>Nərminə</t>
  </si>
  <si>
    <t>Nisə</t>
  </si>
  <si>
    <t>Şamxal</t>
  </si>
  <si>
    <t>Qüdrət</t>
  </si>
  <si>
    <t>Seyfəddin</t>
  </si>
  <si>
    <t>Elnarə</t>
  </si>
  <si>
    <t>Fatma</t>
  </si>
  <si>
    <t>Hökümə</t>
  </si>
  <si>
    <t>İbiş</t>
  </si>
  <si>
    <t>Tofiq</t>
  </si>
  <si>
    <t>Aynurə</t>
  </si>
  <si>
    <t>Lətafət</t>
  </si>
  <si>
    <t>Fəxri</t>
  </si>
  <si>
    <t>Mahizər</t>
  </si>
  <si>
    <t>Qulam</t>
  </si>
  <si>
    <t>Bayram</t>
  </si>
  <si>
    <t>Nərgiz</t>
  </si>
  <si>
    <t>Qiyas</t>
  </si>
  <si>
    <t>Arifə</t>
  </si>
  <si>
    <t>Cavid</t>
  </si>
  <si>
    <t>Aybəniz</t>
  </si>
  <si>
    <t>Firəngiz</t>
  </si>
  <si>
    <t>Əmir</t>
  </si>
  <si>
    <t>Elnurə</t>
  </si>
  <si>
    <t>Seymur</t>
  </si>
  <si>
    <t>Qələndər</t>
  </si>
  <si>
    <t>Teymurçin</t>
  </si>
  <si>
    <t>İbrahim</t>
  </si>
  <si>
    <t>Elmir</t>
  </si>
  <si>
    <t>Ağasəfa</t>
  </si>
  <si>
    <t>İntizar</t>
  </si>
  <si>
    <t>İlkin</t>
  </si>
  <si>
    <t>Mürsəl</t>
  </si>
  <si>
    <t>Atabala</t>
  </si>
  <si>
    <t>Əşrəf</t>
  </si>
  <si>
    <t>Zahir</t>
  </si>
  <si>
    <t>Əmin</t>
  </si>
  <si>
    <t>Ağa</t>
  </si>
  <si>
    <t>Qasım</t>
  </si>
  <si>
    <t>İlqar</t>
  </si>
  <si>
    <t>Arzu</t>
  </si>
  <si>
    <t>Fəxrəddin</t>
  </si>
  <si>
    <t>Naibə</t>
  </si>
  <si>
    <t>Lalə</t>
  </si>
  <si>
    <t>Tamara</t>
  </si>
  <si>
    <t>Kəmalə</t>
  </si>
  <si>
    <t>Cəmilə</t>
  </si>
  <si>
    <t>Pakizə</t>
  </si>
  <si>
    <t>Ülvi</t>
  </si>
  <si>
    <t>Həsənağa</t>
  </si>
  <si>
    <t>Nəcəf</t>
  </si>
  <si>
    <t>Aygül</t>
  </si>
  <si>
    <t>Qabil</t>
  </si>
  <si>
    <t>Asiman</t>
  </si>
  <si>
    <t>Şirzad</t>
  </si>
  <si>
    <t>Kamran</t>
  </si>
  <si>
    <t>Nübar</t>
  </si>
  <si>
    <t>Atamoğlan</t>
  </si>
  <si>
    <t>Nağı</t>
  </si>
  <si>
    <t>İxtiyar</t>
  </si>
  <si>
    <t>Nəfisə</t>
  </si>
  <si>
    <t>Məlahət</t>
  </si>
  <si>
    <t>Emil</t>
  </si>
  <si>
    <t>Şəhrəbanu</t>
  </si>
  <si>
    <t>Ayla</t>
  </si>
  <si>
    <t>Fəxriyyə</t>
  </si>
  <si>
    <t>Eldar</t>
  </si>
  <si>
    <t>Əminə</t>
  </si>
  <si>
    <t>İlhamə</t>
  </si>
  <si>
    <t>Kamilə</t>
  </si>
  <si>
    <t>Afiq</t>
  </si>
  <si>
    <t>Məleykə</t>
  </si>
  <si>
    <t>Sarvan</t>
  </si>
  <si>
    <t>Aysu</t>
  </si>
  <si>
    <t>Ləman</t>
  </si>
  <si>
    <t>Əhəd</t>
  </si>
  <si>
    <t>Səlimə</t>
  </si>
  <si>
    <t>Mətanət</t>
  </si>
  <si>
    <t>Saleh</t>
  </si>
  <si>
    <t>Durna</t>
  </si>
  <si>
    <t>Günay</t>
  </si>
  <si>
    <t>Nazimə</t>
  </si>
  <si>
    <t>Mehdiqulu</t>
  </si>
  <si>
    <t>Vidadi</t>
  </si>
  <si>
    <t>Qəşəm </t>
  </si>
  <si>
    <t>Behbud </t>
  </si>
  <si>
    <t>Fimar</t>
  </si>
  <si>
    <t>Musa</t>
  </si>
  <si>
    <t>Leyla</t>
  </si>
  <si>
    <t>Ayan</t>
  </si>
  <si>
    <t>Həcər</t>
  </si>
  <si>
    <t>Cabbar</t>
  </si>
  <si>
    <t>Şəfa</t>
  </si>
  <si>
    <t>Tərlan</t>
  </si>
  <si>
    <t>Fazil</t>
  </si>
  <si>
    <t>Mübariz</t>
  </si>
  <si>
    <t>Həci</t>
  </si>
  <si>
    <t>Gəray</t>
  </si>
  <si>
    <t>Cahan</t>
  </si>
  <si>
    <t>Nuru</t>
  </si>
  <si>
    <t>Südabə</t>
  </si>
  <si>
    <t>Fərman</t>
  </si>
  <si>
    <t>Sara</t>
  </si>
  <si>
    <t>Ceyran</t>
  </si>
  <si>
    <t>Səhər</t>
  </si>
  <si>
    <t>Sevinc</t>
  </si>
  <si>
    <t>Zahid</t>
  </si>
  <si>
    <t>Baba</t>
  </si>
  <si>
    <t>Fərrux</t>
  </si>
  <si>
    <t>Sayalı</t>
  </si>
  <si>
    <t>Yalçın</t>
  </si>
  <si>
    <t>Çingiz</t>
  </si>
  <si>
    <t>Elmira</t>
  </si>
  <si>
    <t>Sücəddin</t>
  </si>
  <si>
    <t>Firuzə</t>
  </si>
  <si>
    <t>Razi</t>
  </si>
  <si>
    <t>Uğur</t>
  </si>
  <si>
    <t>Cəlal</t>
  </si>
  <si>
    <t>Fidan</t>
  </si>
  <si>
    <t>Tural</t>
  </si>
  <si>
    <t>Yəhya</t>
  </si>
  <si>
    <t>Ruqiyyə</t>
  </si>
  <si>
    <t>Yaqub</t>
  </si>
  <si>
    <t>Emin</t>
  </si>
  <si>
    <t>İsgəndər</t>
  </si>
  <si>
    <t>Gündüz</t>
  </si>
  <si>
    <t>Valeh</t>
  </si>
  <si>
    <t>Yasəf</t>
  </si>
  <si>
    <t>Gülnur</t>
  </si>
  <si>
    <t>Vahid</t>
  </si>
  <si>
    <t>Zaur</t>
  </si>
  <si>
    <t>Samirə</t>
  </si>
  <si>
    <t>Nurlan</t>
  </si>
  <si>
    <t>Ağahadi</t>
  </si>
  <si>
    <t>Vaqif </t>
  </si>
  <si>
    <t>Elməddin</t>
  </si>
  <si>
    <t>Bəşir</t>
  </si>
  <si>
    <t>Nəriman</t>
  </si>
  <si>
    <t>Gülçöhrə</t>
  </si>
  <si>
    <t>Akifə</t>
  </si>
  <si>
    <t>Hüseynqulu</t>
  </si>
  <si>
    <t>Həmid</t>
  </si>
  <si>
    <t>Məhərrəm</t>
  </si>
  <si>
    <t>Rəfiqə</t>
  </si>
  <si>
    <t>Sidiqə</t>
  </si>
  <si>
    <t>Şəmsiyyə</t>
  </si>
  <si>
    <t>Sürəyya</t>
  </si>
  <si>
    <t>Laləzar</t>
  </si>
  <si>
    <t>Nəzakət</t>
  </si>
  <si>
    <t>Firdovsi</t>
  </si>
  <si>
    <t>Üzeyir</t>
  </si>
  <si>
    <t>Nazilə</t>
  </si>
  <si>
    <t>Paşa</t>
  </si>
  <si>
    <t>Fikrət</t>
  </si>
  <si>
    <t>Əjdər</t>
  </si>
  <si>
    <t>Muxtar</t>
  </si>
  <si>
    <t>Gülarə</t>
  </si>
  <si>
    <t>Telman</t>
  </si>
  <si>
    <t>Fəridə</t>
  </si>
  <si>
    <t>Nurlana</t>
  </si>
  <si>
    <t>Raziyə</t>
  </si>
  <si>
    <t>Kənan</t>
  </si>
  <si>
    <t>Məryəm</t>
  </si>
  <si>
    <t>Hikmət</t>
  </si>
  <si>
    <t>Qalib</t>
  </si>
  <si>
    <t>Yusif</t>
  </si>
  <si>
    <t>Ceyhun</t>
  </si>
  <si>
    <t>Cümşüd</t>
  </si>
  <si>
    <t>İntiqam</t>
  </si>
  <si>
    <t>Ələkbər</t>
  </si>
  <si>
    <t>Adil</t>
  </si>
  <si>
    <t>Teymuraz</t>
  </si>
  <si>
    <t>Ərtoğrul</t>
  </si>
  <si>
    <t>Qəzənfər</t>
  </si>
  <si>
    <t>Nuşirəvan</t>
  </si>
  <si>
    <t>Bənövşə</t>
  </si>
  <si>
    <t>Dünya</t>
  </si>
  <si>
    <t>İnqilab</t>
  </si>
  <si>
    <t>Əcəbnaz</t>
  </si>
  <si>
    <t>Afət</t>
  </si>
  <si>
    <t>Cəlil</t>
  </si>
  <si>
    <t>Elnur</t>
  </si>
  <si>
    <t>Fərahim</t>
  </si>
  <si>
    <t>Məhəmməd</t>
  </si>
  <si>
    <t>Gülüş</t>
  </si>
  <si>
    <t>İlahə</t>
  </si>
  <si>
    <t>Vəli</t>
  </si>
  <si>
    <t>Münəvvər</t>
  </si>
  <si>
    <t>Səfurə</t>
  </si>
  <si>
    <t>Gülsüm</t>
  </si>
  <si>
    <t>Xalid</t>
  </si>
  <si>
    <t>Gülay</t>
  </si>
  <si>
    <t>Nurşərəf </t>
  </si>
  <si>
    <t>Novruz</t>
  </si>
  <si>
    <t>Şərafət</t>
  </si>
  <si>
    <t>Nadir</t>
  </si>
  <si>
    <t>Famil </t>
  </si>
  <si>
    <t>İsrafil</t>
  </si>
  <si>
    <t>Sitarə</t>
  </si>
  <si>
    <t>Məmməd</t>
  </si>
  <si>
    <t>Nuranə</t>
  </si>
  <si>
    <t>Mehin</t>
  </si>
  <si>
    <t>Kifayət</t>
  </si>
  <si>
    <t>Samir</t>
  </si>
  <si>
    <t>Gülər</t>
  </si>
  <si>
    <t>Füzuli</t>
  </si>
  <si>
    <t>Elçin</t>
  </si>
  <si>
    <t>Maqsud</t>
  </si>
  <si>
    <t>Maisə</t>
  </si>
  <si>
    <t>Gültac</t>
  </si>
  <si>
    <t>Şirin</t>
  </si>
  <si>
    <t>Rasimə</t>
  </si>
  <si>
    <t>Rəhilə</t>
  </si>
  <si>
    <t>Meyransa</t>
  </si>
  <si>
    <t>Şaban</t>
  </si>
  <si>
    <t>Zamir</t>
  </si>
  <si>
    <t>Xamis</t>
  </si>
  <si>
    <t>Adnan</t>
  </si>
  <si>
    <t>Elmar</t>
  </si>
  <si>
    <t>Nigar</t>
  </si>
  <si>
    <t>Qönçə</t>
  </si>
  <si>
    <t>Qoşqar</t>
  </si>
  <si>
    <t>Röyal</t>
  </si>
  <si>
    <t>Kəmaləddin</t>
  </si>
  <si>
    <t>Rübeyda</t>
  </si>
  <si>
    <t>Nazir</t>
  </si>
  <si>
    <t>Yamən</t>
  </si>
  <si>
    <t>Əsmər</t>
  </si>
  <si>
    <t>Rəşad</t>
  </si>
  <si>
    <t>Selcan</t>
  </si>
  <si>
    <t>Fatimə</t>
  </si>
  <si>
    <t>Həzi</t>
  </si>
  <si>
    <t>Sahibə</t>
  </si>
  <si>
    <t>Çimnaz</t>
  </si>
  <si>
    <t>Hacıbəy</t>
  </si>
  <si>
    <t>Riyad</t>
  </si>
  <si>
    <t>Sadıq</t>
  </si>
  <si>
    <t>Bilal</t>
  </si>
  <si>
    <t>Əhməd</t>
  </si>
  <si>
    <t>Fəyyaz</t>
  </si>
  <si>
    <t>Rəmziyyə</t>
  </si>
  <si>
    <t>Rüfət</t>
  </si>
  <si>
    <t>İzzət</t>
  </si>
  <si>
    <t>Xəyal</t>
  </si>
  <si>
    <t>Səlim</t>
  </si>
  <si>
    <t>Natiq</t>
  </si>
  <si>
    <t>Pərvinə</t>
  </si>
  <si>
    <t>Polad</t>
  </si>
  <si>
    <t>Əbdül</t>
  </si>
  <si>
    <t>Natella</t>
  </si>
  <si>
    <t>Səmayə</t>
  </si>
  <si>
    <t>Gülçin</t>
  </si>
  <si>
    <t>Elxan</t>
  </si>
  <si>
    <t>Vüqar</t>
  </si>
  <si>
    <t>Elturan</t>
  </si>
  <si>
    <t>Ruxsarə</t>
  </si>
  <si>
    <t>İsa</t>
  </si>
  <si>
    <t>Nazlı</t>
  </si>
  <si>
    <t>Çinarə</t>
  </si>
  <si>
    <t>Narıngül</t>
  </si>
  <si>
    <t>Səbirə</t>
  </si>
  <si>
    <t>Toğrul</t>
  </si>
  <si>
    <t>Xudaverdi</t>
  </si>
  <si>
    <t>Xankişi</t>
  </si>
  <si>
    <t>Bəkir</t>
  </si>
  <si>
    <t>İlnarə</t>
  </si>
  <si>
    <t>Mahirə</t>
  </si>
  <si>
    <t>Nicat</t>
  </si>
  <si>
    <t>Şahlar</t>
  </si>
  <si>
    <t>Mikayıl</t>
  </si>
  <si>
    <t>Nazim</t>
  </si>
  <si>
    <t>Roman</t>
  </si>
  <si>
    <t>Aynur</t>
  </si>
  <si>
    <t>Fizzə</t>
  </si>
  <si>
    <t>Rübabə</t>
  </si>
  <si>
    <t>Səma</t>
  </si>
  <si>
    <t>Əkbər</t>
  </si>
  <si>
    <t>Ağamalı</t>
  </si>
  <si>
    <t>Dönməz</t>
  </si>
  <si>
    <t>Brilyant</t>
  </si>
  <si>
    <t>Niyazi</t>
  </si>
  <si>
    <t>Səidə</t>
  </si>
  <si>
    <t>Roza</t>
  </si>
  <si>
    <t>Şıxı</t>
  </si>
  <si>
    <t>Gülbala</t>
  </si>
  <si>
    <t>Rəsul</t>
  </si>
  <si>
    <t>Xanlar</t>
  </si>
  <si>
    <t>Fəzail</t>
  </si>
  <si>
    <t>Mirəli</t>
  </si>
  <si>
    <t>Əliəkrəm</t>
  </si>
  <si>
    <t>Suğra</t>
  </si>
  <si>
    <t>Nüsrət</t>
  </si>
  <si>
    <t>Bəhlul</t>
  </si>
  <si>
    <t>Növrəstə</t>
  </si>
  <si>
    <t>Əflatun</t>
  </si>
  <si>
    <t>Elvin</t>
  </si>
  <si>
    <t>İnarə</t>
  </si>
  <si>
    <t>Müşkünaz</t>
  </si>
  <si>
    <t>Sima</t>
  </si>
  <si>
    <t>Azad</t>
  </si>
  <si>
    <t>Gülüstan</t>
  </si>
  <si>
    <t>Gülnaz</t>
  </si>
  <si>
    <t>Namiq</t>
  </si>
  <si>
    <t>Manaf</t>
  </si>
  <si>
    <t>Pərvanə</t>
  </si>
  <si>
    <t>Rafael</t>
  </si>
  <si>
    <t>Zakir</t>
  </si>
  <si>
    <t>Bahadır</t>
  </si>
  <si>
    <t>Elgün</t>
  </si>
  <si>
    <t>Rövşanə</t>
  </si>
  <si>
    <t>Şakir</t>
  </si>
  <si>
    <t>Elman</t>
  </si>
  <si>
    <t>Kərim</t>
  </si>
  <si>
    <t>Seyran</t>
  </si>
  <si>
    <t>Turxan</t>
  </si>
  <si>
    <t>Oqtay</t>
  </si>
  <si>
    <t>Arif</t>
  </si>
  <si>
    <t>Minurə</t>
  </si>
  <si>
    <t>Rəqsanə</t>
  </si>
  <si>
    <t>Aqil</t>
  </si>
  <si>
    <t>İslam</t>
  </si>
  <si>
    <t>Zamin</t>
  </si>
  <si>
    <t>Yasin</t>
  </si>
  <si>
    <t>Nahidə</t>
  </si>
  <si>
    <t>Nanə</t>
  </si>
  <si>
    <t>Fərid</t>
  </si>
  <si>
    <t>Şəlalə</t>
  </si>
  <si>
    <t>Ziya</t>
  </si>
  <si>
    <t>Ümid</t>
  </si>
  <si>
    <t>Dilşad</t>
  </si>
  <si>
    <t>Faiq</t>
  </si>
  <si>
    <t>Fərhad</t>
  </si>
  <si>
    <t>Müzəffər</t>
  </si>
  <si>
    <t>Habil</t>
  </si>
  <si>
    <t>Vüsal</t>
  </si>
  <si>
    <t>Müntəzir</t>
  </si>
  <si>
    <t>Şərəfəddin</t>
  </si>
  <si>
    <t>Aslan</t>
  </si>
  <si>
    <t>Raifə</t>
  </si>
  <si>
    <t>Rəşid</t>
  </si>
  <si>
    <t>Dilarə</t>
  </si>
  <si>
    <t>Eldəniz</t>
  </si>
  <si>
    <t>Kövsər</t>
  </si>
  <si>
    <t>Nihad</t>
  </si>
  <si>
    <t>Səadət</t>
  </si>
  <si>
    <t>İlyas</t>
  </si>
  <si>
    <t>Asəf</t>
  </si>
  <si>
    <t>Dadaş </t>
  </si>
  <si>
    <t>Röyalə</t>
  </si>
  <si>
    <t>Səriyyə</t>
  </si>
  <si>
    <t>Xudu</t>
  </si>
  <si>
    <t>Aydan</t>
  </si>
  <si>
    <t>Mehdi</t>
  </si>
  <si>
    <t>Nəzrin</t>
  </si>
  <si>
    <t>Hümbət</t>
  </si>
  <si>
    <t>Kamil</t>
  </si>
  <si>
    <t>Rafiq</t>
  </si>
  <si>
    <t>Aysel</t>
  </si>
  <si>
    <t>Dürdanə</t>
  </si>
  <si>
    <t>İlqarə</t>
  </si>
  <si>
    <t>Pərişan</t>
  </si>
  <si>
    <t>Rəis</t>
  </si>
  <si>
    <t>Dürnisə</t>
  </si>
  <si>
    <t>Könül</t>
  </si>
  <si>
    <t>Səbinə</t>
  </si>
  <si>
    <t>Elsevər</t>
  </si>
  <si>
    <t>Ədibə</t>
  </si>
  <si>
    <t>Bəhruz</t>
  </si>
  <si>
    <t>Ruslan</t>
  </si>
  <si>
    <t>İnayət</t>
  </si>
  <si>
    <t>Mehman</t>
  </si>
  <si>
    <t>Osman</t>
  </si>
  <si>
    <t>Rza</t>
  </si>
  <si>
    <t>Şəfiqə</t>
  </si>
  <si>
    <t>Xaliq</t>
  </si>
  <si>
    <t>Dilavər</t>
  </si>
  <si>
    <t>Yaşar</t>
  </si>
  <si>
    <t>Almaz</t>
  </si>
  <si>
    <t>İmran</t>
  </si>
  <si>
    <t>Pünhan</t>
  </si>
  <si>
    <t>Heydər</t>
  </si>
  <si>
    <t>Simuzər</t>
  </si>
  <si>
    <t>Allahverdi</t>
  </si>
  <si>
    <t>Tunar</t>
  </si>
  <si>
    <t>Elton</t>
  </si>
  <si>
    <t>Qızbəs</t>
  </si>
  <si>
    <t>İlham</t>
  </si>
  <si>
    <t>Kəramət</t>
  </si>
  <si>
    <t>Sənubər</t>
  </si>
  <si>
    <t>Cahangir</t>
  </si>
  <si>
    <t>Fərqanə</t>
  </si>
  <si>
    <t>Afaq</t>
  </si>
  <si>
    <t>Ağca</t>
  </si>
  <si>
    <t>Aliyə</t>
  </si>
  <si>
    <t>Nəsimi</t>
  </si>
  <si>
    <t>Şükufə</t>
  </si>
  <si>
    <t>Lətif</t>
  </si>
  <si>
    <t>Şahnaz</t>
  </si>
  <si>
    <t>Sərxan</t>
  </si>
  <si>
    <t>Fuad </t>
  </si>
  <si>
    <t>Ruhəngiz</t>
  </si>
  <si>
    <t>Sabir</t>
  </si>
  <si>
    <t>Xudayar</t>
  </si>
  <si>
    <t>Mirzə</t>
  </si>
  <si>
    <t>Müslüm</t>
  </si>
  <si>
    <t>Natəvan</t>
  </si>
  <si>
    <t>Teymur</t>
  </si>
  <si>
    <t>Mümtaz</t>
  </si>
  <si>
    <t>Aygün</t>
  </si>
  <si>
    <t>Aytəkin</t>
  </si>
  <si>
    <t>Reyhan</t>
  </si>
  <si>
    <t>Talıb</t>
  </si>
  <si>
    <t>Bəhram</t>
  </si>
  <si>
    <t>Pərvin</t>
  </si>
  <si>
    <t>Akif</t>
  </si>
  <si>
    <t>Azər</t>
  </si>
  <si>
    <t>Ceyhunə</t>
  </si>
  <si>
    <t>Etibar</t>
  </si>
  <si>
    <t>Zaman</t>
  </si>
  <si>
    <t>Ayçiçək</t>
  </si>
  <si>
    <t>Fərda</t>
  </si>
  <si>
    <t>Gültəkin</t>
  </si>
  <si>
    <t>Valid</t>
  </si>
  <si>
    <t>Gülnar</t>
  </si>
  <si>
    <t>Yunis</t>
  </si>
  <si>
    <t>Sirac</t>
  </si>
  <si>
    <t>Əliş</t>
  </si>
  <si>
    <t>Mülayim</t>
  </si>
  <si>
    <t>Hakim</t>
  </si>
  <si>
    <t>Əkrəm</t>
  </si>
  <si>
    <t>Solmaz</t>
  </si>
  <si>
    <t>Mərziyyə</t>
  </si>
  <si>
    <t>Gülşən</t>
  </si>
  <si>
    <t>Vilayət</t>
  </si>
  <si>
    <t>Rəna</t>
  </si>
  <si>
    <t>Nəsib</t>
  </si>
  <si>
    <t>Səxavət</t>
  </si>
  <si>
    <t>Vəfadar</t>
  </si>
  <si>
    <t>Mahir</t>
  </si>
  <si>
    <t>Salman </t>
  </si>
  <si>
    <t>Nurulla</t>
  </si>
  <si>
    <t>Ənvər</t>
  </si>
  <si>
    <t>Şəhla</t>
  </si>
  <si>
    <t>Sadiq</t>
  </si>
  <si>
    <t>Şeyda</t>
  </si>
  <si>
    <t>İsmayıl</t>
  </si>
  <si>
    <t>Qaratel</t>
  </si>
  <si>
    <t>Ağamusa</t>
  </si>
  <si>
    <t>Murad</t>
  </si>
  <si>
    <t>Yadigar</t>
  </si>
  <si>
    <t>Fatihə</t>
  </si>
  <si>
    <t>Vazeh</t>
  </si>
  <si>
    <t>Gülmira</t>
  </si>
  <si>
    <t>Lamiyə</t>
  </si>
  <si>
    <t>İmam</t>
  </si>
  <si>
    <t>Orduxan</t>
  </si>
  <si>
    <t>Sona</t>
  </si>
  <si>
    <t>Yavər</t>
  </si>
  <si>
    <t>Gülxar</t>
  </si>
  <si>
    <t>Gülzar</t>
  </si>
  <si>
    <t>Qulu</t>
  </si>
  <si>
    <t>Şahvələd</t>
  </si>
  <si>
    <t>Hilal</t>
  </si>
  <si>
    <t>Asilə</t>
  </si>
  <si>
    <t>Dünyamalı</t>
  </si>
  <si>
    <t>Əyyub</t>
  </si>
  <si>
    <t>Çiçək</t>
  </si>
  <si>
    <t>Sübhan</t>
  </si>
  <si>
    <t>Cəmil</t>
  </si>
  <si>
    <t>Nurşən</t>
  </si>
  <si>
    <t>Cəmalə</t>
  </si>
  <si>
    <t>İradə</t>
  </si>
  <si>
    <t>Nürəddin</t>
  </si>
  <si>
    <t>Nüşabə</t>
  </si>
  <si>
    <t>Pəri</t>
  </si>
  <si>
    <t>Afil</t>
  </si>
  <si>
    <t>Əhliman</t>
  </si>
  <si>
    <t>Kazım</t>
  </si>
  <si>
    <t>Anar</t>
  </si>
  <si>
    <t>Balaxanım</t>
  </si>
  <si>
    <t>Əntiqə</t>
  </si>
  <si>
    <t>Nərmin</t>
  </si>
  <si>
    <t>Seyfulla</t>
  </si>
  <si>
    <t>Sərəncam</t>
  </si>
  <si>
    <t>Ələsgər</t>
  </si>
  <si>
    <t>Sabirə</t>
  </si>
  <si>
    <t>Gülağa</t>
  </si>
  <si>
    <t>Məhru</t>
  </si>
  <si>
    <t>Gülnarə</t>
  </si>
  <si>
    <t>Rəsmiyyə</t>
  </si>
  <si>
    <t>Qədir</t>
  </si>
  <si>
    <t>Röya</t>
  </si>
  <si>
    <t>Leyli</t>
  </si>
  <si>
    <t>Vasif</t>
  </si>
  <si>
    <t>Xəlil</t>
  </si>
  <si>
    <t>İsmət</t>
  </si>
  <si>
    <t>Ülfət</t>
  </si>
  <si>
    <t>Zeynal</t>
  </si>
  <si>
    <t>Fariz</t>
  </si>
  <si>
    <t>Ramilə</t>
  </si>
  <si>
    <t>Hüsniyyə</t>
  </si>
  <si>
    <t>Ağaxan</t>
  </si>
  <si>
    <t>Mədinə</t>
  </si>
  <si>
    <t>Orxan</t>
  </si>
  <si>
    <t>Coşqun</t>
  </si>
  <si>
    <t>Şahmar</t>
  </si>
  <si>
    <t>Fəhmin</t>
  </si>
  <si>
    <t>Lazım</t>
  </si>
  <si>
    <t>Məsmə</t>
  </si>
  <si>
    <t>Aydın</t>
  </si>
  <si>
    <t>Tamilla</t>
  </si>
  <si>
    <t>Xəyyam</t>
  </si>
  <si>
    <t>Flora</t>
  </si>
  <si>
    <t>Süleyman</t>
  </si>
  <si>
    <t>Elşən</t>
  </si>
  <si>
    <t>Eyyub</t>
  </si>
  <si>
    <t>Ramil</t>
  </si>
  <si>
    <t>Rövşən</t>
  </si>
  <si>
    <t>Əsgər</t>
  </si>
  <si>
    <t>Şamil</t>
  </si>
  <si>
    <t>Adilə</t>
  </si>
  <si>
    <t>Nailə</t>
  </si>
  <si>
    <t>Elmidar</t>
  </si>
  <si>
    <t>Səbuhi</t>
  </si>
  <si>
    <t>Sərvər </t>
  </si>
  <si>
    <t>Cavad</t>
  </si>
  <si>
    <t>Ramid</t>
  </si>
  <si>
    <t>Lətifə</t>
  </si>
  <si>
    <t>Əli</t>
  </si>
  <si>
    <t>Nakif</t>
  </si>
  <si>
    <t>Qadir</t>
  </si>
  <si>
    <t>Zamiq</t>
  </si>
  <si>
    <t>Tariyel</t>
  </si>
  <si>
    <t>Şahin </t>
  </si>
  <si>
    <t>Xaləddin</t>
  </si>
  <si>
    <t>Zərdüşt</t>
  </si>
  <si>
    <t>Ramiz </t>
  </si>
  <si>
    <t>Şövkət</t>
  </si>
  <si>
    <t>Turan</t>
  </si>
  <si>
    <t>Etiqad</t>
  </si>
  <si>
    <t>Həsən</t>
  </si>
  <si>
    <t>Rizvan</t>
  </si>
  <si>
    <t>Asif</t>
  </si>
  <si>
    <t>Mehbarə</t>
  </si>
  <si>
    <t>Veysəl</t>
  </si>
  <si>
    <t>Ceyla</t>
  </si>
  <si>
    <t>Ədalət</t>
  </si>
  <si>
    <t>Güllər</t>
  </si>
  <si>
    <t>Sacidə</t>
  </si>
  <si>
    <t>Sənan</t>
  </si>
  <si>
    <t>Səfər</t>
  </si>
  <si>
    <t>Səlahəddin</t>
  </si>
  <si>
    <t>İlkanə</t>
  </si>
  <si>
    <t>Rasim</t>
  </si>
  <si>
    <t>Esmira</t>
  </si>
  <si>
    <t>Pərviz</t>
  </si>
  <si>
    <t>Mahmud</t>
  </si>
  <si>
    <t>Niyaz</t>
  </si>
  <si>
    <t>Tahir </t>
  </si>
  <si>
    <t>Qumru</t>
  </si>
  <si>
    <t>Səməd</t>
  </si>
  <si>
    <t>Xosrov</t>
  </si>
  <si>
    <t>Zeynulla</t>
  </si>
  <si>
    <t>Elşad</t>
  </si>
  <si>
    <t>Firudin</t>
  </si>
  <si>
    <t>Kamal</t>
  </si>
  <si>
    <t>Rəxşəndə</t>
  </si>
  <si>
    <t>Təhminə</t>
  </si>
  <si>
    <t>dogum_tarixi_il</t>
  </si>
  <si>
    <t>60=&lt;</t>
  </si>
  <si>
    <t>Seher/Yas kateqoriya</t>
  </si>
  <si>
    <t>Toplam</t>
  </si>
  <si>
    <t>Seher/Gelir kateqoriya</t>
  </si>
  <si>
    <t>&lt;1000 AZN</t>
  </si>
  <si>
    <t>5000=&lt; AZN</t>
  </si>
  <si>
    <t>Yas ve Gelir kateqoriylari</t>
  </si>
  <si>
    <t>Gelir ve Xerc kateqoriyasi</t>
  </si>
  <si>
    <t>Seher/Yas kateqoriyasi</t>
  </si>
  <si>
    <t>birlesdirme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</si>
</sst>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₼-42C]"/>
    <numFmt numFmtId="165" formatCode="#,##0.00\ &quot;₼&quot;"/>
    <numFmt numFmtId="166" formatCode="0.0"/>
  </numFmts>
  <fonts count="19" x14ac:knownFonts="1">
    <font>
      <sz val="11"/>
      <color theme="1"/>
      <name val="Calibri"/>
      <scheme val="minor"/>
    </font>
    <font>
      <i/>
      <sz val="11"/>
      <color theme="1"/>
      <name val="Calibri"/>
    </font>
    <font>
      <sz val="11"/>
      <color theme="1"/>
      <name val="Calibri"/>
    </font>
    <font>
      <b/>
      <sz val="9"/>
      <color theme="1"/>
      <name val="Century Gothic"/>
    </font>
    <font>
      <sz val="9"/>
      <color theme="1"/>
      <name val="Century Gothic"/>
    </font>
    <font>
      <sz val="11"/>
      <name val="Calibri"/>
    </font>
    <font>
      <b/>
      <sz val="11"/>
      <color theme="1"/>
      <name val="Calibri"/>
    </font>
    <font>
      <b/>
      <sz val="9"/>
      <color rgb="FFFF0000"/>
      <name val="Century Gothic"/>
    </font>
    <font>
      <b/>
      <sz val="11"/>
      <color theme="1"/>
      <name val="Calibri"/>
      <family val="2"/>
      <charset val="186"/>
      <scheme val="minor"/>
    </font>
    <font>
      <b/>
      <sz val="9"/>
      <color theme="1"/>
      <name val="Century Gothic"/>
      <family val="2"/>
    </font>
    <font>
      <b/>
      <sz val="11"/>
      <color theme="1"/>
      <name val="Calibri"/>
      <family val="2"/>
      <scheme val="minor"/>
    </font>
    <font>
      <i/>
      <sz val="9"/>
      <color theme="1"/>
      <name val="Century Gothic"/>
      <family val="2"/>
    </font>
    <font>
      <i/>
      <sz val="11"/>
      <color theme="1"/>
      <name val="Calibri"/>
      <family val="2"/>
      <scheme val="minor"/>
    </font>
    <font>
      <b/>
      <u/>
      <sz val="9"/>
      <color theme="1"/>
      <name val="Century Gothic"/>
      <family val="2"/>
    </font>
    <font>
      <b/>
      <u/>
      <sz val="11"/>
      <color theme="1"/>
      <name val="Calibri"/>
      <family val="2"/>
      <charset val="186"/>
      <scheme val="minor"/>
    </font>
    <font>
      <b/>
      <sz val="11"/>
      <color rgb="FFC00000"/>
      <name val="Calibri"/>
      <family val="2"/>
      <scheme val="minor"/>
    </font>
    <font>
      <b/>
      <sz val="9"/>
      <color rgb="FFC00000"/>
      <name val="Century Gothic"/>
      <family val="2"/>
      <charset val="186"/>
    </font>
    <font>
      <b/>
      <sz val="11"/>
      <color rgb="FFC00000"/>
      <name val="Calibri"/>
      <family val="2"/>
      <charset val="186"/>
      <scheme val="minor"/>
    </font>
    <font>
      <b/>
      <sz val="9"/>
      <color rgb="FFC00000"/>
      <name val="Century Gothic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0" fillId="0" borderId="10" xfId="0" applyFont="1" applyBorder="1" applyAlignment="1"/>
    <xf numFmtId="0" fontId="4" fillId="0" borderId="1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10" xfId="0" applyFont="1" applyFill="1" applyBorder="1" applyAlignment="1"/>
    <xf numFmtId="0" fontId="9" fillId="0" borderId="1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0" xfId="0" applyFont="1" applyBorder="1" applyAlignment="1"/>
    <xf numFmtId="165" fontId="11" fillId="0" borderId="10" xfId="0" applyNumberFormat="1" applyFont="1" applyBorder="1" applyAlignment="1">
      <alignment horizontal="center" vertical="center"/>
    </xf>
    <xf numFmtId="165" fontId="10" fillId="0" borderId="10" xfId="0" applyNumberFormat="1" applyFont="1" applyBorder="1" applyAlignment="1"/>
    <xf numFmtId="165" fontId="9" fillId="0" borderId="10" xfId="0" applyNumberFormat="1" applyFont="1" applyBorder="1" applyAlignment="1">
      <alignment horizontal="center" vertical="center"/>
    </xf>
    <xf numFmtId="165" fontId="12" fillId="0" borderId="10" xfId="0" applyNumberFormat="1" applyFont="1" applyBorder="1" applyAlignment="1"/>
    <xf numFmtId="0" fontId="10" fillId="0" borderId="0" xfId="0" applyFont="1" applyBorder="1" applyAlignment="1"/>
    <xf numFmtId="165" fontId="9" fillId="0" borderId="0" xfId="0" applyNumberFormat="1" applyFont="1" applyBorder="1" applyAlignment="1">
      <alignment horizontal="center" vertical="center"/>
    </xf>
    <xf numFmtId="165" fontId="10" fillId="0" borderId="0" xfId="0" applyNumberFormat="1" applyFont="1" applyBorder="1" applyAlignment="1"/>
    <xf numFmtId="0" fontId="13" fillId="0" borderId="10" xfId="0" applyFont="1" applyBorder="1" applyAlignment="1">
      <alignment horizontal="center" vertical="center"/>
    </xf>
    <xf numFmtId="0" fontId="14" fillId="0" borderId="10" xfId="0" applyFont="1" applyBorder="1" applyAlignment="1"/>
    <xf numFmtId="0" fontId="15" fillId="0" borderId="10" xfId="0" applyFont="1" applyBorder="1" applyAlignment="1"/>
    <xf numFmtId="0" fontId="16" fillId="0" borderId="10" xfId="0" applyFont="1" applyBorder="1" applyAlignment="1">
      <alignment horizontal="left" vertical="center"/>
    </xf>
    <xf numFmtId="0" fontId="16" fillId="0" borderId="10" xfId="0" applyFont="1" applyFill="1" applyBorder="1" applyAlignment="1">
      <alignment horizontal="center" vertical="center"/>
    </xf>
    <xf numFmtId="0" fontId="17" fillId="0" borderId="10" xfId="0" applyFont="1" applyBorder="1" applyAlignment="1"/>
    <xf numFmtId="0" fontId="18" fillId="0" borderId="10" xfId="0" applyFont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0" xfId="0" applyFont="1" applyAlignment="1"/>
    <xf numFmtId="0" fontId="4" fillId="0" borderId="10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8" fillId="0" borderId="10" xfId="0" applyFont="1" applyBorder="1" applyAlignment="1"/>
    <xf numFmtId="166" fontId="6" fillId="0" borderId="5" xfId="0" applyNumberFormat="1" applyFont="1" applyBorder="1"/>
    <xf numFmtId="164" fontId="6" fillId="0" borderId="5" xfId="0" applyNumberFormat="1" applyFont="1" applyBorder="1"/>
    <xf numFmtId="165" fontId="4" fillId="0" borderId="6" xfId="0" applyNumberFormat="1" applyFont="1" applyBorder="1" applyAlignment="1">
      <alignment horizontal="center" vertical="center"/>
    </xf>
    <xf numFmtId="165" fontId="6" fillId="0" borderId="5" xfId="0" applyNumberFormat="1" applyFont="1" applyBorder="1"/>
    <xf numFmtId="0" fontId="9" fillId="0" borderId="1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Seher</a:t>
            </a:r>
            <a:r>
              <a:rPr lang="en-US" baseline="0"/>
              <a:t> ve Yas kateqoriyasina gore sakin sayi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Summary!$B$14</c:f>
              <c:strCache>
                <c:ptCount val="1"/>
                <c:pt idx="0">
                  <c:v>0=&lt;20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Summary!$A$15:$A$24</c:f>
              <c:strCache>
                <c:ptCount val="10"/>
                <c:pt idx="0">
                  <c:v>Quba</c:v>
                </c:pt>
                <c:pt idx="1">
                  <c:v>Xaçmaz</c:v>
                </c:pt>
                <c:pt idx="2">
                  <c:v>Tovuz</c:v>
                </c:pt>
                <c:pt idx="3">
                  <c:v>Qəbələ</c:v>
                </c:pt>
                <c:pt idx="4">
                  <c:v>Dəvəçi</c:v>
                </c:pt>
                <c:pt idx="5">
                  <c:v>Şərur</c:v>
                </c:pt>
                <c:pt idx="6">
                  <c:v>Şəki</c:v>
                </c:pt>
                <c:pt idx="7">
                  <c:v>Lənkəran</c:v>
                </c:pt>
                <c:pt idx="8">
                  <c:v>Gəncə</c:v>
                </c:pt>
                <c:pt idx="9">
                  <c:v>Bakı</c:v>
                </c:pt>
              </c:strCache>
            </c:strRef>
          </c:cat>
          <c:val>
            <c:numRef>
              <c:f>Summary!$B$15:$B$24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5-447A-920B-D0775604441F}"/>
            </c:ext>
          </c:extLst>
        </c:ser>
        <c:ser>
          <c:idx val="1"/>
          <c:order val="1"/>
          <c:tx>
            <c:strRef>
              <c:f>Summary!$C$14</c:f>
              <c:strCache>
                <c:ptCount val="1"/>
                <c:pt idx="0">
                  <c:v>20=&lt;30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Summary!$A$15:$A$24</c:f>
              <c:strCache>
                <c:ptCount val="10"/>
                <c:pt idx="0">
                  <c:v>Quba</c:v>
                </c:pt>
                <c:pt idx="1">
                  <c:v>Xaçmaz</c:v>
                </c:pt>
                <c:pt idx="2">
                  <c:v>Tovuz</c:v>
                </c:pt>
                <c:pt idx="3">
                  <c:v>Qəbələ</c:v>
                </c:pt>
                <c:pt idx="4">
                  <c:v>Dəvəçi</c:v>
                </c:pt>
                <c:pt idx="5">
                  <c:v>Şərur</c:v>
                </c:pt>
                <c:pt idx="6">
                  <c:v>Şəki</c:v>
                </c:pt>
                <c:pt idx="7">
                  <c:v>Lənkəran</c:v>
                </c:pt>
                <c:pt idx="8">
                  <c:v>Gəncə</c:v>
                </c:pt>
                <c:pt idx="9">
                  <c:v>Bakı</c:v>
                </c:pt>
              </c:strCache>
            </c:strRef>
          </c:cat>
          <c:val>
            <c:numRef>
              <c:f>Summary!$C$15:$C$24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13</c:v>
                </c:pt>
                <c:pt idx="3">
                  <c:v>9</c:v>
                </c:pt>
                <c:pt idx="4">
                  <c:v>11</c:v>
                </c:pt>
                <c:pt idx="5">
                  <c:v>9</c:v>
                </c:pt>
                <c:pt idx="6">
                  <c:v>6</c:v>
                </c:pt>
                <c:pt idx="7">
                  <c:v>15</c:v>
                </c:pt>
                <c:pt idx="8">
                  <c:v>10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B5-447A-920B-D0775604441F}"/>
            </c:ext>
          </c:extLst>
        </c:ser>
        <c:ser>
          <c:idx val="2"/>
          <c:order val="2"/>
          <c:tx>
            <c:strRef>
              <c:f>Summary!$D$14</c:f>
              <c:strCache>
                <c:ptCount val="1"/>
                <c:pt idx="0">
                  <c:v>30=&lt;40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Summary!$A$15:$A$24</c:f>
              <c:strCache>
                <c:ptCount val="10"/>
                <c:pt idx="0">
                  <c:v>Quba</c:v>
                </c:pt>
                <c:pt idx="1">
                  <c:v>Xaçmaz</c:v>
                </c:pt>
                <c:pt idx="2">
                  <c:v>Tovuz</c:v>
                </c:pt>
                <c:pt idx="3">
                  <c:v>Qəbələ</c:v>
                </c:pt>
                <c:pt idx="4">
                  <c:v>Dəvəçi</c:v>
                </c:pt>
                <c:pt idx="5">
                  <c:v>Şərur</c:v>
                </c:pt>
                <c:pt idx="6">
                  <c:v>Şəki</c:v>
                </c:pt>
                <c:pt idx="7">
                  <c:v>Lənkəran</c:v>
                </c:pt>
                <c:pt idx="8">
                  <c:v>Gəncə</c:v>
                </c:pt>
                <c:pt idx="9">
                  <c:v>Bakı</c:v>
                </c:pt>
              </c:strCache>
            </c:strRef>
          </c:cat>
          <c:val>
            <c:numRef>
              <c:f>Summary!$D$15:$D$24</c:f>
              <c:numCache>
                <c:formatCode>General</c:formatCode>
                <c:ptCount val="10"/>
                <c:pt idx="0">
                  <c:v>14</c:v>
                </c:pt>
                <c:pt idx="1">
                  <c:v>19</c:v>
                </c:pt>
                <c:pt idx="2">
                  <c:v>15</c:v>
                </c:pt>
                <c:pt idx="3">
                  <c:v>21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11</c:v>
                </c:pt>
                <c:pt idx="8">
                  <c:v>22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B5-447A-920B-D0775604441F}"/>
            </c:ext>
          </c:extLst>
        </c:ser>
        <c:ser>
          <c:idx val="3"/>
          <c:order val="3"/>
          <c:tx>
            <c:strRef>
              <c:f>Summary!$E$14</c:f>
              <c:strCache>
                <c:ptCount val="1"/>
                <c:pt idx="0">
                  <c:v>40=&lt;60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Summary!$A$15:$A$24</c:f>
              <c:strCache>
                <c:ptCount val="10"/>
                <c:pt idx="0">
                  <c:v>Quba</c:v>
                </c:pt>
                <c:pt idx="1">
                  <c:v>Xaçmaz</c:v>
                </c:pt>
                <c:pt idx="2">
                  <c:v>Tovuz</c:v>
                </c:pt>
                <c:pt idx="3">
                  <c:v>Qəbələ</c:v>
                </c:pt>
                <c:pt idx="4">
                  <c:v>Dəvəçi</c:v>
                </c:pt>
                <c:pt idx="5">
                  <c:v>Şərur</c:v>
                </c:pt>
                <c:pt idx="6">
                  <c:v>Şəki</c:v>
                </c:pt>
                <c:pt idx="7">
                  <c:v>Lənkəran</c:v>
                </c:pt>
                <c:pt idx="8">
                  <c:v>Gəncə</c:v>
                </c:pt>
                <c:pt idx="9">
                  <c:v>Bakı</c:v>
                </c:pt>
              </c:strCache>
            </c:strRef>
          </c:cat>
          <c:val>
            <c:numRef>
              <c:f>Summary!$E$15:$E$24</c:f>
              <c:numCache>
                <c:formatCode>General</c:formatCode>
                <c:ptCount val="10"/>
                <c:pt idx="0">
                  <c:v>26</c:v>
                </c:pt>
                <c:pt idx="1">
                  <c:v>22</c:v>
                </c:pt>
                <c:pt idx="2">
                  <c:v>37</c:v>
                </c:pt>
                <c:pt idx="3">
                  <c:v>24</c:v>
                </c:pt>
                <c:pt idx="4">
                  <c:v>28</c:v>
                </c:pt>
                <c:pt idx="5">
                  <c:v>27</c:v>
                </c:pt>
                <c:pt idx="6">
                  <c:v>34</c:v>
                </c:pt>
                <c:pt idx="7">
                  <c:v>25</c:v>
                </c:pt>
                <c:pt idx="8">
                  <c:v>34</c:v>
                </c:pt>
                <c:pt idx="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B5-447A-920B-D0775604441F}"/>
            </c:ext>
          </c:extLst>
        </c:ser>
        <c:ser>
          <c:idx val="4"/>
          <c:order val="4"/>
          <c:tx>
            <c:strRef>
              <c:f>Summary!$F$14</c:f>
              <c:strCache>
                <c:ptCount val="1"/>
                <c:pt idx="0">
                  <c:v>60=&lt;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Summary!$A$15:$A$24</c:f>
              <c:strCache>
                <c:ptCount val="10"/>
                <c:pt idx="0">
                  <c:v>Quba</c:v>
                </c:pt>
                <c:pt idx="1">
                  <c:v>Xaçmaz</c:v>
                </c:pt>
                <c:pt idx="2">
                  <c:v>Tovuz</c:v>
                </c:pt>
                <c:pt idx="3">
                  <c:v>Qəbələ</c:v>
                </c:pt>
                <c:pt idx="4">
                  <c:v>Dəvəçi</c:v>
                </c:pt>
                <c:pt idx="5">
                  <c:v>Şərur</c:v>
                </c:pt>
                <c:pt idx="6">
                  <c:v>Şəki</c:v>
                </c:pt>
                <c:pt idx="7">
                  <c:v>Lənkəran</c:v>
                </c:pt>
                <c:pt idx="8">
                  <c:v>Gəncə</c:v>
                </c:pt>
                <c:pt idx="9">
                  <c:v>Bakı</c:v>
                </c:pt>
              </c:strCache>
            </c:strRef>
          </c:cat>
          <c:val>
            <c:numRef>
              <c:f>Summary!$F$15:$F$24</c:f>
              <c:numCache>
                <c:formatCode>General</c:formatCode>
                <c:ptCount val="10"/>
                <c:pt idx="0">
                  <c:v>14</c:v>
                </c:pt>
                <c:pt idx="1">
                  <c:v>7</c:v>
                </c:pt>
                <c:pt idx="2">
                  <c:v>3</c:v>
                </c:pt>
                <c:pt idx="3">
                  <c:v>8</c:v>
                </c:pt>
                <c:pt idx="4">
                  <c:v>6</c:v>
                </c:pt>
                <c:pt idx="5">
                  <c:v>8</c:v>
                </c:pt>
                <c:pt idx="6">
                  <c:v>11</c:v>
                </c:pt>
                <c:pt idx="7">
                  <c:v>8</c:v>
                </c:pt>
                <c:pt idx="8">
                  <c:v>6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B5-447A-920B-D077560444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90396719"/>
        <c:axId val="1590398383"/>
      </c:barChart>
      <c:catAx>
        <c:axId val="1590396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398383"/>
        <c:crosses val="autoZero"/>
        <c:auto val="1"/>
        <c:lblAlgn val="ctr"/>
        <c:lblOffset val="100"/>
        <c:noMultiLvlLbl val="0"/>
      </c:catAx>
      <c:valAx>
        <c:axId val="1590398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39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Seher</a:t>
            </a:r>
            <a:r>
              <a:rPr lang="en-US" baseline="0"/>
              <a:t> ve Yas kateqoriyasina gore umumi gelir</a:t>
            </a:r>
          </a:p>
        </c:rich>
      </c:tx>
      <c:layout>
        <c:manualLayout>
          <c:xMode val="edge"/>
          <c:yMode val="edge"/>
          <c:x val="0.30692529471643132"/>
          <c:y val="2.9339845769440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Summary!$B$52</c:f>
              <c:strCache>
                <c:ptCount val="1"/>
                <c:pt idx="0">
                  <c:v>0=&lt;20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Summary!$A$53:$A$62</c:f>
              <c:strCache>
                <c:ptCount val="10"/>
                <c:pt idx="0">
                  <c:v>Quba</c:v>
                </c:pt>
                <c:pt idx="1">
                  <c:v>Xaçmaz</c:v>
                </c:pt>
                <c:pt idx="2">
                  <c:v>Tovuz</c:v>
                </c:pt>
                <c:pt idx="3">
                  <c:v>Qəbələ</c:v>
                </c:pt>
                <c:pt idx="4">
                  <c:v>Dəvəçi</c:v>
                </c:pt>
                <c:pt idx="5">
                  <c:v>Şərur</c:v>
                </c:pt>
                <c:pt idx="6">
                  <c:v>Şəki</c:v>
                </c:pt>
                <c:pt idx="7">
                  <c:v>Lənkəran</c:v>
                </c:pt>
                <c:pt idx="8">
                  <c:v>Gəncə</c:v>
                </c:pt>
                <c:pt idx="9">
                  <c:v>Bakı</c:v>
                </c:pt>
              </c:strCache>
            </c:strRef>
          </c:cat>
          <c:val>
            <c:numRef>
              <c:f>Summary!$B$53:$B$62</c:f>
              <c:numCache>
                <c:formatCode>#,##0.00\ "₼"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1-4DDD-A781-2C2B6541417B}"/>
            </c:ext>
          </c:extLst>
        </c:ser>
        <c:ser>
          <c:idx val="1"/>
          <c:order val="1"/>
          <c:tx>
            <c:strRef>
              <c:f>Summary!$C$52</c:f>
              <c:strCache>
                <c:ptCount val="1"/>
                <c:pt idx="0">
                  <c:v>20=&lt;30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Summary!$A$53:$A$62</c:f>
              <c:strCache>
                <c:ptCount val="10"/>
                <c:pt idx="0">
                  <c:v>Quba</c:v>
                </c:pt>
                <c:pt idx="1">
                  <c:v>Xaçmaz</c:v>
                </c:pt>
                <c:pt idx="2">
                  <c:v>Tovuz</c:v>
                </c:pt>
                <c:pt idx="3">
                  <c:v>Qəbələ</c:v>
                </c:pt>
                <c:pt idx="4">
                  <c:v>Dəvəçi</c:v>
                </c:pt>
                <c:pt idx="5">
                  <c:v>Şərur</c:v>
                </c:pt>
                <c:pt idx="6">
                  <c:v>Şəki</c:v>
                </c:pt>
                <c:pt idx="7">
                  <c:v>Lənkəran</c:v>
                </c:pt>
                <c:pt idx="8">
                  <c:v>Gəncə</c:v>
                </c:pt>
                <c:pt idx="9">
                  <c:v>Bakı</c:v>
                </c:pt>
              </c:strCache>
            </c:strRef>
          </c:cat>
          <c:val>
            <c:numRef>
              <c:f>Summary!$C$53:$C$62</c:f>
              <c:numCache>
                <c:formatCode>#,##0.00\ "₼"</c:formatCode>
                <c:ptCount val="10"/>
                <c:pt idx="0">
                  <c:v>23205.079999999998</c:v>
                </c:pt>
                <c:pt idx="1">
                  <c:v>37873.43</c:v>
                </c:pt>
                <c:pt idx="2">
                  <c:v>37934.85</c:v>
                </c:pt>
                <c:pt idx="3">
                  <c:v>21578.219999999998</c:v>
                </c:pt>
                <c:pt idx="4">
                  <c:v>27546.66</c:v>
                </c:pt>
                <c:pt idx="5">
                  <c:v>23558.879999999997</c:v>
                </c:pt>
                <c:pt idx="6">
                  <c:v>20833.09</c:v>
                </c:pt>
                <c:pt idx="7">
                  <c:v>40577.800000000003</c:v>
                </c:pt>
                <c:pt idx="8">
                  <c:v>27593.080000000005</c:v>
                </c:pt>
                <c:pt idx="9">
                  <c:v>6867.68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01-4DDD-A781-2C2B6541417B}"/>
            </c:ext>
          </c:extLst>
        </c:ser>
        <c:ser>
          <c:idx val="2"/>
          <c:order val="2"/>
          <c:tx>
            <c:strRef>
              <c:f>Summary!$D$52</c:f>
              <c:strCache>
                <c:ptCount val="1"/>
                <c:pt idx="0">
                  <c:v>30=&lt;40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Summary!$A$53:$A$62</c:f>
              <c:strCache>
                <c:ptCount val="10"/>
                <c:pt idx="0">
                  <c:v>Quba</c:v>
                </c:pt>
                <c:pt idx="1">
                  <c:v>Xaçmaz</c:v>
                </c:pt>
                <c:pt idx="2">
                  <c:v>Tovuz</c:v>
                </c:pt>
                <c:pt idx="3">
                  <c:v>Qəbələ</c:v>
                </c:pt>
                <c:pt idx="4">
                  <c:v>Dəvəçi</c:v>
                </c:pt>
                <c:pt idx="5">
                  <c:v>Şərur</c:v>
                </c:pt>
                <c:pt idx="6">
                  <c:v>Şəki</c:v>
                </c:pt>
                <c:pt idx="7">
                  <c:v>Lənkəran</c:v>
                </c:pt>
                <c:pt idx="8">
                  <c:v>Gəncə</c:v>
                </c:pt>
                <c:pt idx="9">
                  <c:v>Bakı</c:v>
                </c:pt>
              </c:strCache>
            </c:strRef>
          </c:cat>
          <c:val>
            <c:numRef>
              <c:f>Summary!$D$53:$D$62</c:f>
              <c:numCache>
                <c:formatCode>#,##0.00\ "₼"</c:formatCode>
                <c:ptCount val="10"/>
                <c:pt idx="0">
                  <c:v>39906.590000000004</c:v>
                </c:pt>
                <c:pt idx="1">
                  <c:v>43316.77</c:v>
                </c:pt>
                <c:pt idx="2">
                  <c:v>42266.250000000007</c:v>
                </c:pt>
                <c:pt idx="3">
                  <c:v>65590.5</c:v>
                </c:pt>
                <c:pt idx="4">
                  <c:v>22033.23</c:v>
                </c:pt>
                <c:pt idx="5">
                  <c:v>30986.940000000002</c:v>
                </c:pt>
                <c:pt idx="6">
                  <c:v>36657.909999999996</c:v>
                </c:pt>
                <c:pt idx="7">
                  <c:v>21824.710000000003</c:v>
                </c:pt>
                <c:pt idx="8">
                  <c:v>59001.74</c:v>
                </c:pt>
                <c:pt idx="9">
                  <c:v>38613.9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01-4DDD-A781-2C2B6541417B}"/>
            </c:ext>
          </c:extLst>
        </c:ser>
        <c:ser>
          <c:idx val="3"/>
          <c:order val="3"/>
          <c:tx>
            <c:strRef>
              <c:f>Summary!$E$52</c:f>
              <c:strCache>
                <c:ptCount val="1"/>
                <c:pt idx="0">
                  <c:v>40=&lt;60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Summary!$A$53:$A$62</c:f>
              <c:strCache>
                <c:ptCount val="10"/>
                <c:pt idx="0">
                  <c:v>Quba</c:v>
                </c:pt>
                <c:pt idx="1">
                  <c:v>Xaçmaz</c:v>
                </c:pt>
                <c:pt idx="2">
                  <c:v>Tovuz</c:v>
                </c:pt>
                <c:pt idx="3">
                  <c:v>Qəbələ</c:v>
                </c:pt>
                <c:pt idx="4">
                  <c:v>Dəvəçi</c:v>
                </c:pt>
                <c:pt idx="5">
                  <c:v>Şərur</c:v>
                </c:pt>
                <c:pt idx="6">
                  <c:v>Şəki</c:v>
                </c:pt>
                <c:pt idx="7">
                  <c:v>Lənkəran</c:v>
                </c:pt>
                <c:pt idx="8">
                  <c:v>Gəncə</c:v>
                </c:pt>
                <c:pt idx="9">
                  <c:v>Bakı</c:v>
                </c:pt>
              </c:strCache>
            </c:strRef>
          </c:cat>
          <c:val>
            <c:numRef>
              <c:f>Summary!$E$53:$E$62</c:f>
              <c:numCache>
                <c:formatCode>#,##0.00\ "₼"</c:formatCode>
                <c:ptCount val="10"/>
                <c:pt idx="0">
                  <c:v>71090.849999999991</c:v>
                </c:pt>
                <c:pt idx="1">
                  <c:v>59310.029999999992</c:v>
                </c:pt>
                <c:pt idx="2">
                  <c:v>82905.029999999984</c:v>
                </c:pt>
                <c:pt idx="3">
                  <c:v>69887.840000000011</c:v>
                </c:pt>
                <c:pt idx="4">
                  <c:v>70891.28</c:v>
                </c:pt>
                <c:pt idx="5">
                  <c:v>64935.039999999994</c:v>
                </c:pt>
                <c:pt idx="6">
                  <c:v>84683.050000000017</c:v>
                </c:pt>
                <c:pt idx="7">
                  <c:v>72864.959999999992</c:v>
                </c:pt>
                <c:pt idx="8">
                  <c:v>85331.91</c:v>
                </c:pt>
                <c:pt idx="9">
                  <c:v>69180.069999999992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01-4DDD-A781-2C2B6541417B}"/>
            </c:ext>
          </c:extLst>
        </c:ser>
        <c:ser>
          <c:idx val="4"/>
          <c:order val="4"/>
          <c:tx>
            <c:strRef>
              <c:f>Summary!$F$52</c:f>
              <c:strCache>
                <c:ptCount val="1"/>
                <c:pt idx="0">
                  <c:v>60=&lt;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Summary!$A$53:$A$62</c:f>
              <c:strCache>
                <c:ptCount val="10"/>
                <c:pt idx="0">
                  <c:v>Quba</c:v>
                </c:pt>
                <c:pt idx="1">
                  <c:v>Xaçmaz</c:v>
                </c:pt>
                <c:pt idx="2">
                  <c:v>Tovuz</c:v>
                </c:pt>
                <c:pt idx="3">
                  <c:v>Qəbələ</c:v>
                </c:pt>
                <c:pt idx="4">
                  <c:v>Dəvəçi</c:v>
                </c:pt>
                <c:pt idx="5">
                  <c:v>Şərur</c:v>
                </c:pt>
                <c:pt idx="6">
                  <c:v>Şəki</c:v>
                </c:pt>
                <c:pt idx="7">
                  <c:v>Lənkəran</c:v>
                </c:pt>
                <c:pt idx="8">
                  <c:v>Gəncə</c:v>
                </c:pt>
                <c:pt idx="9">
                  <c:v>Bakı</c:v>
                </c:pt>
              </c:strCache>
            </c:strRef>
          </c:cat>
          <c:val>
            <c:numRef>
              <c:f>Summary!$F$53:$F$62</c:f>
              <c:numCache>
                <c:formatCode>#,##0.00\ "₼"</c:formatCode>
                <c:ptCount val="10"/>
                <c:pt idx="0">
                  <c:v>36989.32</c:v>
                </c:pt>
                <c:pt idx="1">
                  <c:v>9948.9</c:v>
                </c:pt>
                <c:pt idx="2">
                  <c:v>8117.85</c:v>
                </c:pt>
                <c:pt idx="3">
                  <c:v>22048.149999999998</c:v>
                </c:pt>
                <c:pt idx="4">
                  <c:v>14441.54</c:v>
                </c:pt>
                <c:pt idx="5">
                  <c:v>22246.76</c:v>
                </c:pt>
                <c:pt idx="6">
                  <c:v>35319.740000000005</c:v>
                </c:pt>
                <c:pt idx="7">
                  <c:v>17620.330000000002</c:v>
                </c:pt>
                <c:pt idx="8">
                  <c:v>15752.61</c:v>
                </c:pt>
                <c:pt idx="9">
                  <c:v>12196.43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01-4DDD-A781-2C2B654141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92830223"/>
        <c:axId val="1592821903"/>
      </c:barChart>
      <c:catAx>
        <c:axId val="1592830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821903"/>
        <c:crosses val="autoZero"/>
        <c:auto val="1"/>
        <c:lblAlgn val="ctr"/>
        <c:lblOffset val="100"/>
        <c:noMultiLvlLbl val="0"/>
      </c:catAx>
      <c:valAx>
        <c:axId val="1592821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₼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83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Seher</a:t>
            </a:r>
            <a:r>
              <a:rPr lang="en-US" baseline="0"/>
              <a:t> ve Gelir kateqoriasina gore umimi gelir</a:t>
            </a:r>
            <a:endParaRPr lang="en-US"/>
          </a:p>
        </c:rich>
      </c:tx>
      <c:layout>
        <c:manualLayout>
          <c:xMode val="edge"/>
          <c:yMode val="edge"/>
          <c:x val="0.2967333024548402"/>
          <c:y val="2.25510973239660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Summary!$B$104</c:f>
              <c:strCache>
                <c:ptCount val="1"/>
                <c:pt idx="0">
                  <c:v>&lt;1000 AZN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Summary!$A$105:$A$114</c:f>
              <c:strCache>
                <c:ptCount val="10"/>
                <c:pt idx="0">
                  <c:v>Quba</c:v>
                </c:pt>
                <c:pt idx="1">
                  <c:v>Xaçmaz</c:v>
                </c:pt>
                <c:pt idx="2">
                  <c:v>Tovuz</c:v>
                </c:pt>
                <c:pt idx="3">
                  <c:v>Qəbələ</c:v>
                </c:pt>
                <c:pt idx="4">
                  <c:v>Dəvəçi</c:v>
                </c:pt>
                <c:pt idx="5">
                  <c:v>Şərur</c:v>
                </c:pt>
                <c:pt idx="6">
                  <c:v>Şəki</c:v>
                </c:pt>
                <c:pt idx="7">
                  <c:v>Lənkəran</c:v>
                </c:pt>
                <c:pt idx="8">
                  <c:v>Gəncə</c:v>
                </c:pt>
                <c:pt idx="9">
                  <c:v>Bakı</c:v>
                </c:pt>
              </c:strCache>
            </c:strRef>
          </c:cat>
          <c:val>
            <c:numRef>
              <c:f>Summary!$B$105:$B$114</c:f>
              <c:numCache>
                <c:formatCode>#,##0.00\ "₼"</c:formatCode>
                <c:ptCount val="10"/>
                <c:pt idx="0">
                  <c:v>6493.26</c:v>
                </c:pt>
                <c:pt idx="1">
                  <c:v>7254.9600000000019</c:v>
                </c:pt>
                <c:pt idx="2">
                  <c:v>4289.92</c:v>
                </c:pt>
                <c:pt idx="3">
                  <c:v>3378.2200000000003</c:v>
                </c:pt>
                <c:pt idx="4">
                  <c:v>5352.45</c:v>
                </c:pt>
                <c:pt idx="5">
                  <c:v>6001.9</c:v>
                </c:pt>
                <c:pt idx="6">
                  <c:v>4500.05</c:v>
                </c:pt>
                <c:pt idx="7">
                  <c:v>6764.05</c:v>
                </c:pt>
                <c:pt idx="8">
                  <c:v>7094.920000000001</c:v>
                </c:pt>
                <c:pt idx="9">
                  <c:v>3860.5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60-43CB-A045-E5B9B03978A4}"/>
            </c:ext>
          </c:extLst>
        </c:ser>
        <c:ser>
          <c:idx val="1"/>
          <c:order val="1"/>
          <c:tx>
            <c:strRef>
              <c:f>Summary!$C$104</c:f>
              <c:strCache>
                <c:ptCount val="1"/>
                <c:pt idx="0">
                  <c:v>1000=&lt;2000 AZN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Summary!$A$105:$A$114</c:f>
              <c:strCache>
                <c:ptCount val="10"/>
                <c:pt idx="0">
                  <c:v>Quba</c:v>
                </c:pt>
                <c:pt idx="1">
                  <c:v>Xaçmaz</c:v>
                </c:pt>
                <c:pt idx="2">
                  <c:v>Tovuz</c:v>
                </c:pt>
                <c:pt idx="3">
                  <c:v>Qəbələ</c:v>
                </c:pt>
                <c:pt idx="4">
                  <c:v>Dəvəçi</c:v>
                </c:pt>
                <c:pt idx="5">
                  <c:v>Şərur</c:v>
                </c:pt>
                <c:pt idx="6">
                  <c:v>Şəki</c:v>
                </c:pt>
                <c:pt idx="7">
                  <c:v>Lənkəran</c:v>
                </c:pt>
                <c:pt idx="8">
                  <c:v>Gəncə</c:v>
                </c:pt>
                <c:pt idx="9">
                  <c:v>Bakı</c:v>
                </c:pt>
              </c:strCache>
            </c:strRef>
          </c:cat>
          <c:val>
            <c:numRef>
              <c:f>Summary!$C$105:$C$114</c:f>
              <c:numCache>
                <c:formatCode>#,##0.00\ "₼"</c:formatCode>
                <c:ptCount val="10"/>
                <c:pt idx="0">
                  <c:v>18864.89</c:v>
                </c:pt>
                <c:pt idx="1">
                  <c:v>21381.710000000003</c:v>
                </c:pt>
                <c:pt idx="2">
                  <c:v>26010.85</c:v>
                </c:pt>
                <c:pt idx="3">
                  <c:v>23937.139999999996</c:v>
                </c:pt>
                <c:pt idx="4">
                  <c:v>25367.699999999997</c:v>
                </c:pt>
                <c:pt idx="5">
                  <c:v>11096.92</c:v>
                </c:pt>
                <c:pt idx="6">
                  <c:v>19327.010000000002</c:v>
                </c:pt>
                <c:pt idx="7">
                  <c:v>17258.25</c:v>
                </c:pt>
                <c:pt idx="8">
                  <c:v>22976.269999999997</c:v>
                </c:pt>
                <c:pt idx="9">
                  <c:v>16936.910000000003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60-43CB-A045-E5B9B03978A4}"/>
            </c:ext>
          </c:extLst>
        </c:ser>
        <c:ser>
          <c:idx val="2"/>
          <c:order val="2"/>
          <c:tx>
            <c:strRef>
              <c:f>Summary!$D$104</c:f>
              <c:strCache>
                <c:ptCount val="1"/>
                <c:pt idx="0">
                  <c:v>2000=&lt;3000 AZN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Summary!$A$105:$A$114</c:f>
              <c:strCache>
                <c:ptCount val="10"/>
                <c:pt idx="0">
                  <c:v>Quba</c:v>
                </c:pt>
                <c:pt idx="1">
                  <c:v>Xaçmaz</c:v>
                </c:pt>
                <c:pt idx="2">
                  <c:v>Tovuz</c:v>
                </c:pt>
                <c:pt idx="3">
                  <c:v>Qəbələ</c:v>
                </c:pt>
                <c:pt idx="4">
                  <c:v>Dəvəçi</c:v>
                </c:pt>
                <c:pt idx="5">
                  <c:v>Şərur</c:v>
                </c:pt>
                <c:pt idx="6">
                  <c:v>Şəki</c:v>
                </c:pt>
                <c:pt idx="7">
                  <c:v>Lənkəran</c:v>
                </c:pt>
                <c:pt idx="8">
                  <c:v>Gəncə</c:v>
                </c:pt>
                <c:pt idx="9">
                  <c:v>Bakı</c:v>
                </c:pt>
              </c:strCache>
            </c:strRef>
          </c:cat>
          <c:val>
            <c:numRef>
              <c:f>Summary!$D$105:$D$114</c:f>
              <c:numCache>
                <c:formatCode>#,##0.00\ "₼"</c:formatCode>
                <c:ptCount val="10"/>
                <c:pt idx="0">
                  <c:v>46353.18</c:v>
                </c:pt>
                <c:pt idx="1">
                  <c:v>38399.33</c:v>
                </c:pt>
                <c:pt idx="2">
                  <c:v>41159.170000000006</c:v>
                </c:pt>
                <c:pt idx="3">
                  <c:v>30007.13</c:v>
                </c:pt>
                <c:pt idx="4">
                  <c:v>14876.98</c:v>
                </c:pt>
                <c:pt idx="5">
                  <c:v>48925.84</c:v>
                </c:pt>
                <c:pt idx="6">
                  <c:v>34645.949999999997</c:v>
                </c:pt>
                <c:pt idx="7">
                  <c:v>37656.18</c:v>
                </c:pt>
                <c:pt idx="8">
                  <c:v>49152.260000000009</c:v>
                </c:pt>
                <c:pt idx="9">
                  <c:v>29497.200000000004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60-43CB-A045-E5B9B03978A4}"/>
            </c:ext>
          </c:extLst>
        </c:ser>
        <c:ser>
          <c:idx val="3"/>
          <c:order val="3"/>
          <c:tx>
            <c:strRef>
              <c:f>Summary!$E$104</c:f>
              <c:strCache>
                <c:ptCount val="1"/>
                <c:pt idx="0">
                  <c:v>3000=&lt;4000 AZN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Summary!$A$105:$A$114</c:f>
              <c:strCache>
                <c:ptCount val="10"/>
                <c:pt idx="0">
                  <c:v>Quba</c:v>
                </c:pt>
                <c:pt idx="1">
                  <c:v>Xaçmaz</c:v>
                </c:pt>
                <c:pt idx="2">
                  <c:v>Tovuz</c:v>
                </c:pt>
                <c:pt idx="3">
                  <c:v>Qəbələ</c:v>
                </c:pt>
                <c:pt idx="4">
                  <c:v>Dəvəçi</c:v>
                </c:pt>
                <c:pt idx="5">
                  <c:v>Şərur</c:v>
                </c:pt>
                <c:pt idx="6">
                  <c:v>Şəki</c:v>
                </c:pt>
                <c:pt idx="7">
                  <c:v>Lənkəran</c:v>
                </c:pt>
                <c:pt idx="8">
                  <c:v>Gəncə</c:v>
                </c:pt>
                <c:pt idx="9">
                  <c:v>Bakı</c:v>
                </c:pt>
              </c:strCache>
            </c:strRef>
          </c:cat>
          <c:val>
            <c:numRef>
              <c:f>Summary!$E$105:$E$114</c:f>
              <c:numCache>
                <c:formatCode>#,##0.00\ "₼"</c:formatCode>
                <c:ptCount val="10"/>
                <c:pt idx="0">
                  <c:v>54958.54</c:v>
                </c:pt>
                <c:pt idx="1">
                  <c:v>24692.149999999998</c:v>
                </c:pt>
                <c:pt idx="2">
                  <c:v>43996.650000000009</c:v>
                </c:pt>
                <c:pt idx="3">
                  <c:v>69097.630000000019</c:v>
                </c:pt>
                <c:pt idx="4">
                  <c:v>31323.72</c:v>
                </c:pt>
                <c:pt idx="5">
                  <c:v>29521.739999999998</c:v>
                </c:pt>
                <c:pt idx="6">
                  <c:v>59015.64</c:v>
                </c:pt>
                <c:pt idx="7">
                  <c:v>28559.78</c:v>
                </c:pt>
                <c:pt idx="8">
                  <c:v>39987.579999999994</c:v>
                </c:pt>
                <c:pt idx="9">
                  <c:v>31194.250000000004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60-43CB-A045-E5B9B03978A4}"/>
            </c:ext>
          </c:extLst>
        </c:ser>
        <c:ser>
          <c:idx val="4"/>
          <c:order val="4"/>
          <c:tx>
            <c:strRef>
              <c:f>Summary!$F$104</c:f>
              <c:strCache>
                <c:ptCount val="1"/>
                <c:pt idx="0">
                  <c:v>4000=&lt;5000 AZN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Summary!$A$105:$A$114</c:f>
              <c:strCache>
                <c:ptCount val="10"/>
                <c:pt idx="0">
                  <c:v>Quba</c:v>
                </c:pt>
                <c:pt idx="1">
                  <c:v>Xaçmaz</c:v>
                </c:pt>
                <c:pt idx="2">
                  <c:v>Tovuz</c:v>
                </c:pt>
                <c:pt idx="3">
                  <c:v>Qəbələ</c:v>
                </c:pt>
                <c:pt idx="4">
                  <c:v>Dəvəçi</c:v>
                </c:pt>
                <c:pt idx="5">
                  <c:v>Şərur</c:v>
                </c:pt>
                <c:pt idx="6">
                  <c:v>Şəki</c:v>
                </c:pt>
                <c:pt idx="7">
                  <c:v>Lənkəran</c:v>
                </c:pt>
                <c:pt idx="8">
                  <c:v>Gəncə</c:v>
                </c:pt>
                <c:pt idx="9">
                  <c:v>Bakı</c:v>
                </c:pt>
              </c:strCache>
            </c:strRef>
          </c:cat>
          <c:val>
            <c:numRef>
              <c:f>Summary!$F$105:$F$114</c:f>
              <c:numCache>
                <c:formatCode>#,##0.00\ "₼"</c:formatCode>
                <c:ptCount val="10"/>
                <c:pt idx="0">
                  <c:v>44521.97</c:v>
                </c:pt>
                <c:pt idx="1">
                  <c:v>58720.98</c:v>
                </c:pt>
                <c:pt idx="2">
                  <c:v>55767.39</c:v>
                </c:pt>
                <c:pt idx="3">
                  <c:v>52684.590000000004</c:v>
                </c:pt>
                <c:pt idx="4">
                  <c:v>57991.86</c:v>
                </c:pt>
                <c:pt idx="5">
                  <c:v>46181.219999999987</c:v>
                </c:pt>
                <c:pt idx="6">
                  <c:v>60005.14</c:v>
                </c:pt>
                <c:pt idx="7">
                  <c:v>62649.539999999994</c:v>
                </c:pt>
                <c:pt idx="8">
                  <c:v>68468.31</c:v>
                </c:pt>
                <c:pt idx="9">
                  <c:v>45369.220000000008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60-43CB-A045-E5B9B03978A4}"/>
            </c:ext>
          </c:extLst>
        </c:ser>
        <c:ser>
          <c:idx val="5"/>
          <c:order val="5"/>
          <c:tx>
            <c:strRef>
              <c:f>Summary!$G$104</c:f>
              <c:strCache>
                <c:ptCount val="1"/>
                <c:pt idx="0">
                  <c:v>5000=&lt; AZN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Summary!$A$105:$A$114</c:f>
              <c:strCache>
                <c:ptCount val="10"/>
                <c:pt idx="0">
                  <c:v>Quba</c:v>
                </c:pt>
                <c:pt idx="1">
                  <c:v>Xaçmaz</c:v>
                </c:pt>
                <c:pt idx="2">
                  <c:v>Tovuz</c:v>
                </c:pt>
                <c:pt idx="3">
                  <c:v>Qəbələ</c:v>
                </c:pt>
                <c:pt idx="4">
                  <c:v>Dəvəçi</c:v>
                </c:pt>
                <c:pt idx="5">
                  <c:v>Şərur</c:v>
                </c:pt>
                <c:pt idx="6">
                  <c:v>Şəki</c:v>
                </c:pt>
                <c:pt idx="7">
                  <c:v>Lənkəran</c:v>
                </c:pt>
                <c:pt idx="8">
                  <c:v>Gəncə</c:v>
                </c:pt>
                <c:pt idx="9">
                  <c:v>Bakı</c:v>
                </c:pt>
              </c:strCache>
            </c:strRef>
          </c:cat>
          <c:val>
            <c:numRef>
              <c:f>Summary!$G$105:$G$114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60-43CB-A045-E5B9B03978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39815695"/>
        <c:axId val="1739818191"/>
      </c:barChart>
      <c:catAx>
        <c:axId val="1739815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818191"/>
        <c:crosses val="autoZero"/>
        <c:auto val="1"/>
        <c:lblAlgn val="ctr"/>
        <c:lblOffset val="100"/>
        <c:noMultiLvlLbl val="0"/>
      </c:catAx>
      <c:valAx>
        <c:axId val="173981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₼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81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Yas</a:t>
            </a:r>
            <a:r>
              <a:rPr lang="en-US" baseline="0"/>
              <a:t> ve Gelir kateqoriyasina gore umimi gelir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Summary!$A$148</c:f>
              <c:strCache>
                <c:ptCount val="1"/>
                <c:pt idx="0">
                  <c:v>0=&lt;20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Summary!$B$147:$G$147</c:f>
              <c:strCache>
                <c:ptCount val="6"/>
                <c:pt idx="0">
                  <c:v>&lt;1000 AZN</c:v>
                </c:pt>
                <c:pt idx="1">
                  <c:v>1000=&lt;2000 AZN</c:v>
                </c:pt>
                <c:pt idx="2">
                  <c:v>2000=&lt;3000 AZN</c:v>
                </c:pt>
                <c:pt idx="3">
                  <c:v>3000=&lt;4000 AZN</c:v>
                </c:pt>
                <c:pt idx="4">
                  <c:v>4000=&lt;5000 AZN</c:v>
                </c:pt>
                <c:pt idx="5">
                  <c:v>5000=&lt; AZN</c:v>
                </c:pt>
              </c:strCache>
            </c:strRef>
          </c:cat>
          <c:val>
            <c:numRef>
              <c:f>Summary!$B$148:$G$148</c:f>
              <c:numCache>
                <c:formatCode>#,##0.00\ "₼"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5-48D8-8E9A-B6B0D3038B54}"/>
            </c:ext>
          </c:extLst>
        </c:ser>
        <c:ser>
          <c:idx val="1"/>
          <c:order val="1"/>
          <c:tx>
            <c:strRef>
              <c:f>Summary!$A$149</c:f>
              <c:strCache>
                <c:ptCount val="1"/>
                <c:pt idx="0">
                  <c:v>40=&lt;60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Summary!$B$147:$G$147</c:f>
              <c:strCache>
                <c:ptCount val="6"/>
                <c:pt idx="0">
                  <c:v>&lt;1000 AZN</c:v>
                </c:pt>
                <c:pt idx="1">
                  <c:v>1000=&lt;2000 AZN</c:v>
                </c:pt>
                <c:pt idx="2">
                  <c:v>2000=&lt;3000 AZN</c:v>
                </c:pt>
                <c:pt idx="3">
                  <c:v>3000=&lt;4000 AZN</c:v>
                </c:pt>
                <c:pt idx="4">
                  <c:v>4000=&lt;5000 AZN</c:v>
                </c:pt>
                <c:pt idx="5">
                  <c:v>5000=&lt; AZN</c:v>
                </c:pt>
              </c:strCache>
            </c:strRef>
          </c:cat>
          <c:val>
            <c:numRef>
              <c:f>Summary!$B$149:$G$149</c:f>
              <c:numCache>
                <c:formatCode>#,##0.00\ "₼"</c:formatCode>
                <c:ptCount val="6"/>
                <c:pt idx="0">
                  <c:v>24129.909999999996</c:v>
                </c:pt>
                <c:pt idx="1">
                  <c:v>95253.23</c:v>
                </c:pt>
                <c:pt idx="2">
                  <c:v>173799.31000000003</c:v>
                </c:pt>
                <c:pt idx="3">
                  <c:v>201793.18</c:v>
                </c:pt>
                <c:pt idx="4">
                  <c:v>236104.43000000005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E5-48D8-8E9A-B6B0D3038B54}"/>
            </c:ext>
          </c:extLst>
        </c:ser>
        <c:ser>
          <c:idx val="2"/>
          <c:order val="2"/>
          <c:tx>
            <c:strRef>
              <c:f>Summary!$A$150</c:f>
              <c:strCache>
                <c:ptCount val="1"/>
                <c:pt idx="0">
                  <c:v>60=&lt;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Summary!$B$147:$G$147</c:f>
              <c:strCache>
                <c:ptCount val="6"/>
                <c:pt idx="0">
                  <c:v>&lt;1000 AZN</c:v>
                </c:pt>
                <c:pt idx="1">
                  <c:v>1000=&lt;2000 AZN</c:v>
                </c:pt>
                <c:pt idx="2">
                  <c:v>2000=&lt;3000 AZN</c:v>
                </c:pt>
                <c:pt idx="3">
                  <c:v>3000=&lt;4000 AZN</c:v>
                </c:pt>
                <c:pt idx="4">
                  <c:v>4000=&lt;5000 AZN</c:v>
                </c:pt>
                <c:pt idx="5">
                  <c:v>5000=&lt; AZN</c:v>
                </c:pt>
              </c:strCache>
            </c:strRef>
          </c:cat>
          <c:val>
            <c:numRef>
              <c:f>Summary!$B$150:$G$150</c:f>
              <c:numCache>
                <c:formatCode>#,##0.00\ "₼"</c:formatCode>
                <c:ptCount val="6"/>
                <c:pt idx="0">
                  <c:v>6344.43</c:v>
                </c:pt>
                <c:pt idx="1">
                  <c:v>25486.059999999998</c:v>
                </c:pt>
                <c:pt idx="2">
                  <c:v>53662.389999999992</c:v>
                </c:pt>
                <c:pt idx="3">
                  <c:v>55392.37</c:v>
                </c:pt>
                <c:pt idx="4">
                  <c:v>53796.38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E5-48D8-8E9A-B6B0D3038B54}"/>
            </c:ext>
          </c:extLst>
        </c:ser>
        <c:ser>
          <c:idx val="3"/>
          <c:order val="3"/>
          <c:tx>
            <c:strRef>
              <c:f>Summary!$A$151</c:f>
              <c:strCache>
                <c:ptCount val="1"/>
                <c:pt idx="0">
                  <c:v>30=&lt;40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Summary!$B$147:$G$147</c:f>
              <c:strCache>
                <c:ptCount val="6"/>
                <c:pt idx="0">
                  <c:v>&lt;1000 AZN</c:v>
                </c:pt>
                <c:pt idx="1">
                  <c:v>1000=&lt;2000 AZN</c:v>
                </c:pt>
                <c:pt idx="2">
                  <c:v>2000=&lt;3000 AZN</c:v>
                </c:pt>
                <c:pt idx="3">
                  <c:v>3000=&lt;4000 AZN</c:v>
                </c:pt>
                <c:pt idx="4">
                  <c:v>4000=&lt;5000 AZN</c:v>
                </c:pt>
                <c:pt idx="5">
                  <c:v>5000=&lt; AZN</c:v>
                </c:pt>
              </c:strCache>
            </c:strRef>
          </c:cat>
          <c:val>
            <c:numRef>
              <c:f>Summary!$B$151:$G$151</c:f>
              <c:numCache>
                <c:formatCode>#,##0.00\ "₼"</c:formatCode>
                <c:ptCount val="6"/>
                <c:pt idx="0">
                  <c:v>13899.82</c:v>
                </c:pt>
                <c:pt idx="1">
                  <c:v>52093.850000000006</c:v>
                </c:pt>
                <c:pt idx="2">
                  <c:v>79566.220000000016</c:v>
                </c:pt>
                <c:pt idx="3">
                  <c:v>87270.430000000022</c:v>
                </c:pt>
                <c:pt idx="4">
                  <c:v>167368.22000000003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E5-48D8-8E9A-B6B0D3038B54}"/>
            </c:ext>
          </c:extLst>
        </c:ser>
        <c:ser>
          <c:idx val="4"/>
          <c:order val="4"/>
          <c:tx>
            <c:strRef>
              <c:f>Summary!$A$152</c:f>
              <c:strCache>
                <c:ptCount val="1"/>
                <c:pt idx="0">
                  <c:v>20=&lt;30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Summary!$B$147:$G$147</c:f>
              <c:strCache>
                <c:ptCount val="6"/>
                <c:pt idx="0">
                  <c:v>&lt;1000 AZN</c:v>
                </c:pt>
                <c:pt idx="1">
                  <c:v>1000=&lt;2000 AZN</c:v>
                </c:pt>
                <c:pt idx="2">
                  <c:v>2000=&lt;3000 AZN</c:v>
                </c:pt>
                <c:pt idx="3">
                  <c:v>3000=&lt;4000 AZN</c:v>
                </c:pt>
                <c:pt idx="4">
                  <c:v>4000=&lt;5000 AZN</c:v>
                </c:pt>
                <c:pt idx="5">
                  <c:v>5000=&lt; AZN</c:v>
                </c:pt>
              </c:strCache>
            </c:strRef>
          </c:cat>
          <c:val>
            <c:numRef>
              <c:f>Summary!$B$152:$G$152</c:f>
              <c:numCache>
                <c:formatCode>#,##0.00\ "₼"</c:formatCode>
                <c:ptCount val="6"/>
                <c:pt idx="0">
                  <c:v>10616.070000000002</c:v>
                </c:pt>
                <c:pt idx="1">
                  <c:v>30324.510000000002</c:v>
                </c:pt>
                <c:pt idx="2">
                  <c:v>63645.300000000017</c:v>
                </c:pt>
                <c:pt idx="3">
                  <c:v>67891.700000000012</c:v>
                </c:pt>
                <c:pt idx="4">
                  <c:v>95091.190000000017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E5-48D8-8E9A-B6B0D3038B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92833551"/>
        <c:axId val="1592829391"/>
      </c:barChart>
      <c:catAx>
        <c:axId val="1592833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829391"/>
        <c:crosses val="autoZero"/>
        <c:auto val="1"/>
        <c:lblAlgn val="ctr"/>
        <c:lblOffset val="100"/>
        <c:noMultiLvlLbl val="0"/>
      </c:catAx>
      <c:valAx>
        <c:axId val="1592829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₼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83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Gelir</a:t>
            </a:r>
            <a:r>
              <a:rPr lang="en-US" baseline="0"/>
              <a:t> ve Xerc kateqoriyasi uzre Umimi gelir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817732047562292"/>
          <c:y val="0.12671884560043681"/>
          <c:w val="0.76169133977057291"/>
          <c:h val="0.661666759834217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Summary!$A$186</c:f>
              <c:strCache>
                <c:ptCount val="1"/>
                <c:pt idx="0">
                  <c:v>&lt;1000 AZN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Summary!$B$185:$G$185</c:f>
              <c:strCache>
                <c:ptCount val="6"/>
                <c:pt idx="0">
                  <c:v>&lt;1000 AZN</c:v>
                </c:pt>
                <c:pt idx="1">
                  <c:v>1000=&lt;2000 AZN</c:v>
                </c:pt>
                <c:pt idx="2">
                  <c:v>2000=&lt;3000 AZN</c:v>
                </c:pt>
                <c:pt idx="3">
                  <c:v>3000=&lt;4000 AZN</c:v>
                </c:pt>
                <c:pt idx="4">
                  <c:v>4000=&lt;5000 AZN</c:v>
                </c:pt>
                <c:pt idx="5">
                  <c:v>5000=&lt; AZN</c:v>
                </c:pt>
              </c:strCache>
            </c:strRef>
          </c:cat>
          <c:val>
            <c:numRef>
              <c:f>Summary!$B$186:$G$186</c:f>
              <c:numCache>
                <c:formatCode>#,##0.00\ "₼"</c:formatCode>
                <c:ptCount val="6"/>
                <c:pt idx="0">
                  <c:v>6734.0000000000009</c:v>
                </c:pt>
                <c:pt idx="1">
                  <c:v>11886.460000000003</c:v>
                </c:pt>
                <c:pt idx="2">
                  <c:v>13018.820000000002</c:v>
                </c:pt>
                <c:pt idx="3">
                  <c:v>13678.169999999998</c:v>
                </c:pt>
                <c:pt idx="4">
                  <c:v>9672.7799999999988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A-430D-81F7-C59EF3027409}"/>
            </c:ext>
          </c:extLst>
        </c:ser>
        <c:ser>
          <c:idx val="1"/>
          <c:order val="1"/>
          <c:tx>
            <c:strRef>
              <c:f>Summary!$A$187</c:f>
              <c:strCache>
                <c:ptCount val="1"/>
                <c:pt idx="0">
                  <c:v>1000=&lt;2000 AZN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Summary!$B$185:$G$185</c:f>
              <c:strCache>
                <c:ptCount val="6"/>
                <c:pt idx="0">
                  <c:v>&lt;1000 AZN</c:v>
                </c:pt>
                <c:pt idx="1">
                  <c:v>1000=&lt;2000 AZN</c:v>
                </c:pt>
                <c:pt idx="2">
                  <c:v>2000=&lt;3000 AZN</c:v>
                </c:pt>
                <c:pt idx="3">
                  <c:v>3000=&lt;4000 AZN</c:v>
                </c:pt>
                <c:pt idx="4">
                  <c:v>4000=&lt;5000 AZN</c:v>
                </c:pt>
                <c:pt idx="5">
                  <c:v>5000=&lt; AZN</c:v>
                </c:pt>
              </c:strCache>
            </c:strRef>
          </c:cat>
          <c:val>
            <c:numRef>
              <c:f>Summary!$B$187:$G$187</c:f>
              <c:numCache>
                <c:formatCode>#,##0.00\ "₼"</c:formatCode>
                <c:ptCount val="6"/>
                <c:pt idx="0">
                  <c:v>38249.020000000004</c:v>
                </c:pt>
                <c:pt idx="1">
                  <c:v>35366.019999999997</c:v>
                </c:pt>
                <c:pt idx="2">
                  <c:v>43707.17</c:v>
                </c:pt>
                <c:pt idx="3">
                  <c:v>41838.210000000006</c:v>
                </c:pt>
                <c:pt idx="4">
                  <c:v>43997.229999999996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7A-430D-81F7-C59EF3027409}"/>
            </c:ext>
          </c:extLst>
        </c:ser>
        <c:ser>
          <c:idx val="2"/>
          <c:order val="2"/>
          <c:tx>
            <c:strRef>
              <c:f>Summary!$A$188</c:f>
              <c:strCache>
                <c:ptCount val="1"/>
                <c:pt idx="0">
                  <c:v>2000=&lt;3000 AZN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Summary!$B$185:$G$185</c:f>
              <c:strCache>
                <c:ptCount val="6"/>
                <c:pt idx="0">
                  <c:v>&lt;1000 AZN</c:v>
                </c:pt>
                <c:pt idx="1">
                  <c:v>1000=&lt;2000 AZN</c:v>
                </c:pt>
                <c:pt idx="2">
                  <c:v>2000=&lt;3000 AZN</c:v>
                </c:pt>
                <c:pt idx="3">
                  <c:v>3000=&lt;4000 AZN</c:v>
                </c:pt>
                <c:pt idx="4">
                  <c:v>4000=&lt;5000 AZN</c:v>
                </c:pt>
                <c:pt idx="5">
                  <c:v>5000=&lt; AZN</c:v>
                </c:pt>
              </c:strCache>
            </c:strRef>
          </c:cat>
          <c:val>
            <c:numRef>
              <c:f>Summary!$B$188:$G$188</c:f>
              <c:numCache>
                <c:formatCode>#,##0.00\ "₼"</c:formatCode>
                <c:ptCount val="6"/>
                <c:pt idx="0">
                  <c:v>54552.460000000014</c:v>
                </c:pt>
                <c:pt idx="1">
                  <c:v>117863.49999999997</c:v>
                </c:pt>
                <c:pt idx="2">
                  <c:v>76910.37</c:v>
                </c:pt>
                <c:pt idx="3">
                  <c:v>55335.01999999999</c:v>
                </c:pt>
                <c:pt idx="4">
                  <c:v>66011.87000000001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7A-430D-81F7-C59EF3027409}"/>
            </c:ext>
          </c:extLst>
        </c:ser>
        <c:ser>
          <c:idx val="3"/>
          <c:order val="3"/>
          <c:tx>
            <c:strRef>
              <c:f>Summary!$A$189</c:f>
              <c:strCache>
                <c:ptCount val="1"/>
                <c:pt idx="0">
                  <c:v>3000=&lt;4000 AZN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Summary!$B$185:$G$185</c:f>
              <c:strCache>
                <c:ptCount val="6"/>
                <c:pt idx="0">
                  <c:v>&lt;1000 AZN</c:v>
                </c:pt>
                <c:pt idx="1">
                  <c:v>1000=&lt;2000 AZN</c:v>
                </c:pt>
                <c:pt idx="2">
                  <c:v>2000=&lt;3000 AZN</c:v>
                </c:pt>
                <c:pt idx="3">
                  <c:v>3000=&lt;4000 AZN</c:v>
                </c:pt>
                <c:pt idx="4">
                  <c:v>4000=&lt;5000 AZN</c:v>
                </c:pt>
                <c:pt idx="5">
                  <c:v>5000=&lt; AZN</c:v>
                </c:pt>
              </c:strCache>
            </c:strRef>
          </c:cat>
          <c:val>
            <c:numRef>
              <c:f>Summary!$B$189:$G$189</c:f>
              <c:numCache>
                <c:formatCode>#,##0.00\ "₼"</c:formatCode>
                <c:ptCount val="6"/>
                <c:pt idx="0">
                  <c:v>65325.89</c:v>
                </c:pt>
                <c:pt idx="1">
                  <c:v>88639.95</c:v>
                </c:pt>
                <c:pt idx="2">
                  <c:v>75037.859999999986</c:v>
                </c:pt>
                <c:pt idx="3">
                  <c:v>96304.11</c:v>
                </c:pt>
                <c:pt idx="4">
                  <c:v>87039.870000000024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7A-430D-81F7-C59EF3027409}"/>
            </c:ext>
          </c:extLst>
        </c:ser>
        <c:ser>
          <c:idx val="4"/>
          <c:order val="4"/>
          <c:tx>
            <c:strRef>
              <c:f>Summary!$A$190</c:f>
              <c:strCache>
                <c:ptCount val="1"/>
                <c:pt idx="0">
                  <c:v>4000=&lt;5000 AZN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Summary!$B$185:$G$185</c:f>
              <c:strCache>
                <c:ptCount val="6"/>
                <c:pt idx="0">
                  <c:v>&lt;1000 AZN</c:v>
                </c:pt>
                <c:pt idx="1">
                  <c:v>1000=&lt;2000 AZN</c:v>
                </c:pt>
                <c:pt idx="2">
                  <c:v>2000=&lt;3000 AZN</c:v>
                </c:pt>
                <c:pt idx="3">
                  <c:v>3000=&lt;4000 AZN</c:v>
                </c:pt>
                <c:pt idx="4">
                  <c:v>4000=&lt;5000 AZN</c:v>
                </c:pt>
                <c:pt idx="5">
                  <c:v>5000=&lt; AZN</c:v>
                </c:pt>
              </c:strCache>
            </c:strRef>
          </c:cat>
          <c:val>
            <c:numRef>
              <c:f>Summary!$B$190:$G$190</c:f>
              <c:numCache>
                <c:formatCode>#,##0.00\ "₼"</c:formatCode>
                <c:ptCount val="6"/>
                <c:pt idx="0">
                  <c:v>71047.75</c:v>
                </c:pt>
                <c:pt idx="1">
                  <c:v>84691.89</c:v>
                </c:pt>
                <c:pt idx="2">
                  <c:v>77493.63</c:v>
                </c:pt>
                <c:pt idx="3">
                  <c:v>134973.35</c:v>
                </c:pt>
                <c:pt idx="4">
                  <c:v>184153.60000000001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7A-430D-81F7-C59EF3027409}"/>
            </c:ext>
          </c:extLst>
        </c:ser>
        <c:ser>
          <c:idx val="5"/>
          <c:order val="5"/>
          <c:tx>
            <c:strRef>
              <c:f>Summary!$A$191</c:f>
              <c:strCache>
                <c:ptCount val="1"/>
                <c:pt idx="0">
                  <c:v>5000=&lt; AZN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Summary!$B$185:$G$185</c:f>
              <c:strCache>
                <c:ptCount val="6"/>
                <c:pt idx="0">
                  <c:v>&lt;1000 AZN</c:v>
                </c:pt>
                <c:pt idx="1">
                  <c:v>1000=&lt;2000 AZN</c:v>
                </c:pt>
                <c:pt idx="2">
                  <c:v>2000=&lt;3000 AZN</c:v>
                </c:pt>
                <c:pt idx="3">
                  <c:v>3000=&lt;4000 AZN</c:v>
                </c:pt>
                <c:pt idx="4">
                  <c:v>4000=&lt;5000 AZN</c:v>
                </c:pt>
                <c:pt idx="5">
                  <c:v>5000=&lt; AZN</c:v>
                </c:pt>
              </c:strCache>
            </c:strRef>
          </c:cat>
          <c:val>
            <c:numRef>
              <c:f>Summary!$B$191:$G$191</c:f>
              <c:numCache>
                <c:formatCode>#,##0.00\ "₼"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7A-430D-81F7-C59EF30274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92851023"/>
        <c:axId val="1592848527"/>
      </c:barChart>
      <c:catAx>
        <c:axId val="15928510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GELIR</a:t>
                </a:r>
                <a:r>
                  <a:rPr lang="en-US" baseline="0"/>
                  <a:t> VE XERC KATEQORIYASI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848527"/>
        <c:crosses val="autoZero"/>
        <c:auto val="1"/>
        <c:lblAlgn val="ctr"/>
        <c:lblOffset val="100"/>
        <c:noMultiLvlLbl val="0"/>
      </c:catAx>
      <c:valAx>
        <c:axId val="159284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UMIMI</a:t>
                </a:r>
                <a:r>
                  <a:rPr lang="en-US" baseline="0"/>
                  <a:t> GELIR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\ &quot;₼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851023"/>
        <c:crosses val="autoZero"/>
        <c:crossBetween val="between"/>
        <c:majorUnit val="5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Seher</a:t>
            </a:r>
            <a:r>
              <a:rPr lang="en-US" baseline="0"/>
              <a:t> ve yas kateqo. gore balansi menfi olan sakinler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9491886718580063E-2"/>
          <c:y val="8.1067821067821066E-2"/>
          <c:w val="0.88185249633851015"/>
          <c:h val="0.7859642544681914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Summary!$B$306</c:f>
              <c:strCache>
                <c:ptCount val="1"/>
                <c:pt idx="0">
                  <c:v>0=&lt;20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Summary!$A$307:$A$316</c:f>
              <c:strCache>
                <c:ptCount val="10"/>
                <c:pt idx="0">
                  <c:v>Quba</c:v>
                </c:pt>
                <c:pt idx="1">
                  <c:v>Xaçmaz</c:v>
                </c:pt>
                <c:pt idx="2">
                  <c:v>Tovuz</c:v>
                </c:pt>
                <c:pt idx="3">
                  <c:v>Qəbələ</c:v>
                </c:pt>
                <c:pt idx="4">
                  <c:v>Dəvəçi</c:v>
                </c:pt>
                <c:pt idx="5">
                  <c:v>Şərur</c:v>
                </c:pt>
                <c:pt idx="6">
                  <c:v>Şəki</c:v>
                </c:pt>
                <c:pt idx="7">
                  <c:v>Lənkəran</c:v>
                </c:pt>
                <c:pt idx="8">
                  <c:v>Gəncə</c:v>
                </c:pt>
                <c:pt idx="9">
                  <c:v>Bakı</c:v>
                </c:pt>
              </c:strCache>
            </c:strRef>
          </c:cat>
          <c:val>
            <c:numRef>
              <c:f>Summary!$B$307:$B$316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4-4545-8713-7D85B8CE9CF2}"/>
            </c:ext>
          </c:extLst>
        </c:ser>
        <c:ser>
          <c:idx val="1"/>
          <c:order val="1"/>
          <c:tx>
            <c:strRef>
              <c:f>Summary!$C$306</c:f>
              <c:strCache>
                <c:ptCount val="1"/>
                <c:pt idx="0">
                  <c:v>20=&lt;30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Summary!$A$307:$A$316</c:f>
              <c:strCache>
                <c:ptCount val="10"/>
                <c:pt idx="0">
                  <c:v>Quba</c:v>
                </c:pt>
                <c:pt idx="1">
                  <c:v>Xaçmaz</c:v>
                </c:pt>
                <c:pt idx="2">
                  <c:v>Tovuz</c:v>
                </c:pt>
                <c:pt idx="3">
                  <c:v>Qəbələ</c:v>
                </c:pt>
                <c:pt idx="4">
                  <c:v>Dəvəçi</c:v>
                </c:pt>
                <c:pt idx="5">
                  <c:v>Şərur</c:v>
                </c:pt>
                <c:pt idx="6">
                  <c:v>Şəki</c:v>
                </c:pt>
                <c:pt idx="7">
                  <c:v>Lənkəran</c:v>
                </c:pt>
                <c:pt idx="8">
                  <c:v>Gəncə</c:v>
                </c:pt>
                <c:pt idx="9">
                  <c:v>Bakı</c:v>
                </c:pt>
              </c:strCache>
            </c:strRef>
          </c:cat>
          <c:val>
            <c:numRef>
              <c:f>Summary!$C$307:$C$316</c:f>
              <c:numCache>
                <c:formatCode>General</c:formatCode>
                <c:ptCount val="10"/>
                <c:pt idx="0">
                  <c:v>8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3</c:v>
                </c:pt>
                <c:pt idx="5">
                  <c:v>6</c:v>
                </c:pt>
                <c:pt idx="6">
                  <c:v>2</c:v>
                </c:pt>
                <c:pt idx="7">
                  <c:v>9</c:v>
                </c:pt>
                <c:pt idx="8">
                  <c:v>5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84-4545-8713-7D85B8CE9CF2}"/>
            </c:ext>
          </c:extLst>
        </c:ser>
        <c:ser>
          <c:idx val="2"/>
          <c:order val="2"/>
          <c:tx>
            <c:strRef>
              <c:f>Summary!$D$306</c:f>
              <c:strCache>
                <c:ptCount val="1"/>
                <c:pt idx="0">
                  <c:v>30=&lt;40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Summary!$A$307:$A$316</c:f>
              <c:strCache>
                <c:ptCount val="10"/>
                <c:pt idx="0">
                  <c:v>Quba</c:v>
                </c:pt>
                <c:pt idx="1">
                  <c:v>Xaçmaz</c:v>
                </c:pt>
                <c:pt idx="2">
                  <c:v>Tovuz</c:v>
                </c:pt>
                <c:pt idx="3">
                  <c:v>Qəbələ</c:v>
                </c:pt>
                <c:pt idx="4">
                  <c:v>Dəvəçi</c:v>
                </c:pt>
                <c:pt idx="5">
                  <c:v>Şərur</c:v>
                </c:pt>
                <c:pt idx="6">
                  <c:v>Şəki</c:v>
                </c:pt>
                <c:pt idx="7">
                  <c:v>Lənkəran</c:v>
                </c:pt>
                <c:pt idx="8">
                  <c:v>Gəncə</c:v>
                </c:pt>
                <c:pt idx="9">
                  <c:v>Bakı</c:v>
                </c:pt>
              </c:strCache>
            </c:strRef>
          </c:cat>
          <c:val>
            <c:numRef>
              <c:f>Summary!$D$307:$D$316</c:f>
              <c:numCache>
                <c:formatCode>General</c:formatCode>
                <c:ptCount val="10"/>
                <c:pt idx="0">
                  <c:v>5</c:v>
                </c:pt>
                <c:pt idx="1">
                  <c:v>11</c:v>
                </c:pt>
                <c:pt idx="2">
                  <c:v>7</c:v>
                </c:pt>
                <c:pt idx="3">
                  <c:v>11</c:v>
                </c:pt>
                <c:pt idx="4">
                  <c:v>5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14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84-4545-8713-7D85B8CE9CF2}"/>
            </c:ext>
          </c:extLst>
        </c:ser>
        <c:ser>
          <c:idx val="3"/>
          <c:order val="3"/>
          <c:tx>
            <c:strRef>
              <c:f>Summary!$E$306</c:f>
              <c:strCache>
                <c:ptCount val="1"/>
                <c:pt idx="0">
                  <c:v>40=&lt;60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dLbl>
              <c:idx val="8"/>
              <c:layout>
                <c:manualLayout>
                  <c:x val="-1.8416206261510804E-3"/>
                  <c:y val="-1.44300144300144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284-4545-8713-7D85B8CE9C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Summary!$A$307:$A$316</c:f>
              <c:strCache>
                <c:ptCount val="10"/>
                <c:pt idx="0">
                  <c:v>Quba</c:v>
                </c:pt>
                <c:pt idx="1">
                  <c:v>Xaçmaz</c:v>
                </c:pt>
                <c:pt idx="2">
                  <c:v>Tovuz</c:v>
                </c:pt>
                <c:pt idx="3">
                  <c:v>Qəbələ</c:v>
                </c:pt>
                <c:pt idx="4">
                  <c:v>Dəvəçi</c:v>
                </c:pt>
                <c:pt idx="5">
                  <c:v>Şərur</c:v>
                </c:pt>
                <c:pt idx="6">
                  <c:v>Şəki</c:v>
                </c:pt>
                <c:pt idx="7">
                  <c:v>Lənkəran</c:v>
                </c:pt>
                <c:pt idx="8">
                  <c:v>Gəncə</c:v>
                </c:pt>
                <c:pt idx="9">
                  <c:v>Bakı</c:v>
                </c:pt>
              </c:strCache>
            </c:strRef>
          </c:cat>
          <c:val>
            <c:numRef>
              <c:f>Summary!$E$307:$E$316</c:f>
              <c:numCache>
                <c:formatCode>General</c:formatCode>
                <c:ptCount val="10"/>
                <c:pt idx="0">
                  <c:v>15</c:v>
                </c:pt>
                <c:pt idx="1">
                  <c:v>9</c:v>
                </c:pt>
                <c:pt idx="2">
                  <c:v>22</c:v>
                </c:pt>
                <c:pt idx="3">
                  <c:v>7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13</c:v>
                </c:pt>
                <c:pt idx="8">
                  <c:v>14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84-4545-8713-7D85B8CE9CF2}"/>
            </c:ext>
          </c:extLst>
        </c:ser>
        <c:ser>
          <c:idx val="4"/>
          <c:order val="4"/>
          <c:tx>
            <c:strRef>
              <c:f>Summary!$F$306</c:f>
              <c:strCache>
                <c:ptCount val="1"/>
                <c:pt idx="0">
                  <c:v>60=&lt;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Summary!$A$307:$A$316</c:f>
              <c:strCache>
                <c:ptCount val="10"/>
                <c:pt idx="0">
                  <c:v>Quba</c:v>
                </c:pt>
                <c:pt idx="1">
                  <c:v>Xaçmaz</c:v>
                </c:pt>
                <c:pt idx="2">
                  <c:v>Tovuz</c:v>
                </c:pt>
                <c:pt idx="3">
                  <c:v>Qəbələ</c:v>
                </c:pt>
                <c:pt idx="4">
                  <c:v>Dəvəçi</c:v>
                </c:pt>
                <c:pt idx="5">
                  <c:v>Şərur</c:v>
                </c:pt>
                <c:pt idx="6">
                  <c:v>Şəki</c:v>
                </c:pt>
                <c:pt idx="7">
                  <c:v>Lənkəran</c:v>
                </c:pt>
                <c:pt idx="8">
                  <c:v>Gəncə</c:v>
                </c:pt>
                <c:pt idx="9">
                  <c:v>Bakı</c:v>
                </c:pt>
              </c:strCache>
            </c:strRef>
          </c:cat>
          <c:val>
            <c:numRef>
              <c:f>Summary!$F$307:$F$316</c:f>
              <c:numCache>
                <c:formatCode>General</c:formatCode>
                <c:ptCount val="10"/>
                <c:pt idx="0">
                  <c:v>7</c:v>
                </c:pt>
                <c:pt idx="1">
                  <c:v>6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84-4545-8713-7D85B8CE9C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19517775"/>
        <c:axId val="1619517359"/>
        <c:axId val="0"/>
      </c:bar3DChart>
      <c:catAx>
        <c:axId val="1619517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517359"/>
        <c:crosses val="autoZero"/>
        <c:auto val="1"/>
        <c:lblAlgn val="ctr"/>
        <c:lblOffset val="100"/>
        <c:noMultiLvlLbl val="0"/>
      </c:catAx>
      <c:valAx>
        <c:axId val="161951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51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Aylıq_Gəlir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rgbClr val="000000">
                  <a:lumMod val="65000"/>
                  <a:lumOff val="35000"/>
                </a:srgbClr>
              </a:solidFill>
              <a:effectLst/>
              <a:uLnTx/>
              <a:uFillTx/>
              <a:latin typeface="Calibri"/>
              <a:ea typeface="Calibri"/>
              <a:cs typeface="Calibri"/>
            </a:rPr>
            <a:t>Aylıq_Gəlir</a:t>
          </a:r>
        </a:p>
      </cx:txPr>
    </cx:title>
    <cx:plotArea>
      <cx:plotAreaRegion>
        <cx:series layoutId="clusteredColumn" uniqueId="{004DA57A-313F-481C-8431-4A2B11C19DFB}">
          <cx:tx>
            <cx:txData>
              <cx:f>_xlchart.v1.6</cx:f>
              <cx:v>Aylıq_Gəlir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100"/>
            </cx:binning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Aylıq_Gəlir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rgbClr val="000000">
                  <a:lumMod val="65000"/>
                  <a:lumOff val="35000"/>
                </a:srgbClr>
              </a:solidFill>
              <a:effectLst/>
              <a:uLnTx/>
              <a:uFillTx/>
              <a:latin typeface="Calibri"/>
              <a:ea typeface="Calibri"/>
              <a:cs typeface="Calibri"/>
            </a:rPr>
            <a:t>Aylıq_Gəlir</a:t>
          </a:r>
        </a:p>
      </cx:txPr>
    </cx:title>
    <cx:plotArea>
      <cx:plotAreaRegion>
        <cx:series layoutId="boxWhisker" uniqueId="{E144EF89-D702-4020-AC08-DF11FD80AFFB}">
          <cx:tx>
            <cx:txData>
              <cx:f>_xlchart.v1.1</cx:f>
              <cx:v>Aylıq_Gəlir</cx:v>
            </cx:txData>
          </cx:tx>
          <cx:dataId val="0"/>
          <cx:layoutPr>
            <cx:visibility meanLine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  <cx:spPr>
    <a:solidFill>
      <a:srgbClr val="FFFF99"/>
    </a:solidFill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Aylıq_Xərclər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rgbClr val="000000">
                  <a:lumMod val="65000"/>
                  <a:lumOff val="35000"/>
                </a:srgbClr>
              </a:solidFill>
              <a:effectLst/>
              <a:uLnTx/>
              <a:uFillTx/>
              <a:latin typeface="Calibri"/>
              <a:ea typeface="Calibri"/>
              <a:cs typeface="Calibri"/>
            </a:rPr>
            <a:t>Aylıq_Xərclər</a:t>
          </a:r>
        </a:p>
      </cx:txPr>
    </cx:title>
    <cx:plotArea>
      <cx:plotAreaRegion>
        <cx:plotSurface>
          <cx:spPr>
            <a:solidFill>
              <a:schemeClr val="bg2">
                <a:lumMod val="95000"/>
              </a:schemeClr>
            </a:solidFill>
          </cx:spPr>
        </cx:plotSurface>
        <cx:series layoutId="clusteredColumn" uniqueId="{208768BA-7C15-4C74-9CF2-B4C301EA622F}">
          <cx:tx>
            <cx:txData>
              <cx:f>_xlchart.v1.8</cx:f>
              <cx:v>Aylıq_Xərclər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100"/>
            </cx:binning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Aylıq_Xərclər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rgbClr val="000000">
                  <a:lumMod val="65000"/>
                  <a:lumOff val="35000"/>
                </a:srgbClr>
              </a:solidFill>
              <a:effectLst/>
              <a:uLnTx/>
              <a:uFillTx/>
              <a:latin typeface="Calibri"/>
              <a:ea typeface="Calibri"/>
              <a:cs typeface="Calibri"/>
            </a:rPr>
            <a:t>Aylıq_Xərclər</a:t>
          </a:r>
        </a:p>
      </cx:txPr>
    </cx:title>
    <cx:plotArea>
      <cx:plotAreaRegion>
        <cx:series layoutId="boxWhisker" uniqueId="{05E9ABA6-BE9A-4D88-9A8B-17E2D924510C}">
          <cx:tx>
            <cx:txData>
              <cx:f>_xlchart.v1.4</cx:f>
              <cx:v>Aylıq_Xərclər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3.xml"/><Relationship Id="rId3" Type="http://schemas.openxmlformats.org/officeDocument/2006/relationships/chart" Target="../charts/chart3.xml"/><Relationship Id="rId7" Type="http://schemas.microsoft.com/office/2014/relationships/chartEx" Target="../charts/chartEx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10" Type="http://schemas.openxmlformats.org/officeDocument/2006/relationships/chart" Target="../charts/chart6.xml"/><Relationship Id="rId4" Type="http://schemas.openxmlformats.org/officeDocument/2006/relationships/chart" Target="../charts/chart4.xml"/><Relationship Id="rId9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161925</xdr:colOff>
      <xdr:row>11</xdr:row>
      <xdr:rowOff>171450</xdr:rowOff>
    </xdr:from>
    <xdr:to>
      <xdr:col>18</xdr:col>
      <xdr:colOff>0</xdr:colOff>
      <xdr:row>32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DE4A85-5139-4B3A-B7E0-3905E43FD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542925</xdr:colOff>
      <xdr:row>49</xdr:row>
      <xdr:rowOff>180974</xdr:rowOff>
    </xdr:from>
    <xdr:to>
      <xdr:col>20</xdr:col>
      <xdr:colOff>295274</xdr:colOff>
      <xdr:row>71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E2412E-6B80-4FAF-9FDF-5B0C36F88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400050</xdr:colOff>
      <xdr:row>102</xdr:row>
      <xdr:rowOff>0</xdr:rowOff>
    </xdr:from>
    <xdr:to>
      <xdr:col>22</xdr:col>
      <xdr:colOff>361950</xdr:colOff>
      <xdr:row>126</xdr:row>
      <xdr:rowOff>161924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74AB3E-F525-4D34-887F-3B74EB4FB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342901</xdr:colOff>
      <xdr:row>145</xdr:row>
      <xdr:rowOff>9526</xdr:rowOff>
    </xdr:from>
    <xdr:to>
      <xdr:col>19</xdr:col>
      <xdr:colOff>571500</xdr:colOff>
      <xdr:row>167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49B65E-544D-4123-8CA9-7F74E86F4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115956</xdr:colOff>
      <xdr:row>183</xdr:row>
      <xdr:rowOff>74543</xdr:rowOff>
    </xdr:from>
    <xdr:to>
      <xdr:col>20</xdr:col>
      <xdr:colOff>314737</xdr:colOff>
      <xdr:row>204</xdr:row>
      <xdr:rowOff>165651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B24DBA-1EE3-4989-BFA9-5BCAAE820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95249</xdr:colOff>
      <xdr:row>222</xdr:row>
      <xdr:rowOff>76200</xdr:rowOff>
    </xdr:from>
    <xdr:to>
      <xdr:col>6</xdr:col>
      <xdr:colOff>57149</xdr:colOff>
      <xdr:row>246</xdr:row>
      <xdr:rowOff>38099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1">
              <a:extLst>
                <a:ext uri="{FF2B5EF4-FFF2-40B4-BE49-F238E27FC236}">
                  <a16:creationId xmlns:a16="http://schemas.microsoft.com/office/drawing/2014/main" id="{4CE3BCC1-B217-404B-BC0B-208C3A51D8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49" y="40252650"/>
              <a:ext cx="7562850" cy="43052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400049</xdr:colOff>
      <xdr:row>222</xdr:row>
      <xdr:rowOff>152400</xdr:rowOff>
    </xdr:from>
    <xdr:to>
      <xdr:col>17</xdr:col>
      <xdr:colOff>542924</xdr:colOff>
      <xdr:row>246</xdr:row>
      <xdr:rowOff>76199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1">
              <a:extLst>
                <a:ext uri="{FF2B5EF4-FFF2-40B4-BE49-F238E27FC236}">
                  <a16:creationId xmlns:a16="http://schemas.microsoft.com/office/drawing/2014/main" id="{9D33B6AC-B7EF-4F98-89FA-4B7310EE5B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00999" y="40328850"/>
              <a:ext cx="7429500" cy="42671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209550</xdr:colOff>
      <xdr:row>266</xdr:row>
      <xdr:rowOff>76200</xdr:rowOff>
    </xdr:from>
    <xdr:to>
      <xdr:col>6</xdr:col>
      <xdr:colOff>95250</xdr:colOff>
      <xdr:row>288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1">
              <a:extLst>
                <a:ext uri="{FF2B5EF4-FFF2-40B4-BE49-F238E27FC236}">
                  <a16:creationId xmlns:a16="http://schemas.microsoft.com/office/drawing/2014/main" id="{10CC4554-672D-44D9-9366-C5C3E6E94F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550" y="48215550"/>
              <a:ext cx="7486650" cy="4019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447674</xdr:colOff>
      <xdr:row>266</xdr:row>
      <xdr:rowOff>95249</xdr:rowOff>
    </xdr:from>
    <xdr:to>
      <xdr:col>17</xdr:col>
      <xdr:colOff>266699</xdr:colOff>
      <xdr:row>288</xdr:row>
      <xdr:rowOff>28574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1">
              <a:extLst>
                <a:ext uri="{FF2B5EF4-FFF2-40B4-BE49-F238E27FC236}">
                  <a16:creationId xmlns:a16="http://schemas.microsoft.com/office/drawing/2014/main" id="{16DB423B-66DE-49D7-A44A-6B91200A55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48624" y="48234599"/>
              <a:ext cx="7105650" cy="3914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438150</xdr:colOff>
      <xdr:row>303</xdr:row>
      <xdr:rowOff>152400</xdr:rowOff>
    </xdr:from>
    <xdr:to>
      <xdr:col>18</xdr:col>
      <xdr:colOff>514350</xdr:colOff>
      <xdr:row>328</xdr:row>
      <xdr:rowOff>28575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10F49F1-5D33-4D98-BE07-48E05ED95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66"/>
  <sheetViews>
    <sheetView showGridLines="0" tabSelected="1" topLeftCell="A281" zoomScaleNormal="100" workbookViewId="0">
      <selection activeCell="G373" sqref="G373"/>
    </sheetView>
  </sheetViews>
  <sheetFormatPr defaultColWidth="14.42578125" defaultRowHeight="15" customHeight="1" x14ac:dyDescent="0.25"/>
  <cols>
    <col min="1" max="1" width="27.140625" customWidth="1"/>
    <col min="2" max="2" width="22.28515625" bestFit="1" customWidth="1"/>
    <col min="3" max="5" width="16.28515625" bestFit="1" customWidth="1"/>
    <col min="6" max="7" width="15.7109375" customWidth="1"/>
    <col min="8" max="8" width="15.140625" customWidth="1"/>
    <col min="9" max="27" width="8.7109375" customWidth="1"/>
  </cols>
  <sheetData>
    <row r="1" spans="1:21" ht="14.25" customHeight="1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21" ht="14.25" customHeight="1" x14ac:dyDescent="0.25"/>
    <row r="3" spans="1:21" ht="14.25" customHeight="1" thickBot="1" x14ac:dyDescent="0.3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1" ht="14.25" customHeight="1" thickBot="1" x14ac:dyDescent="0.3">
      <c r="A4" s="3"/>
      <c r="B4" s="3"/>
    </row>
    <row r="5" spans="1:21" ht="14.25" customHeight="1" x14ac:dyDescent="0.25">
      <c r="A5" s="4" t="s">
        <v>0</v>
      </c>
      <c r="B5" s="21"/>
      <c r="U5" s="12"/>
    </row>
    <row r="6" spans="1:21" ht="14.25" customHeight="1" x14ac:dyDescent="0.25">
      <c r="A6" s="5" t="s">
        <v>1</v>
      </c>
      <c r="B6" s="22"/>
    </row>
    <row r="7" spans="1:21" ht="14.25" customHeight="1" x14ac:dyDescent="0.25">
      <c r="A7" s="5" t="s">
        <v>2</v>
      </c>
      <c r="B7" s="22"/>
    </row>
    <row r="8" spans="1:21" ht="14.25" customHeight="1" x14ac:dyDescent="0.25">
      <c r="A8" s="5" t="s">
        <v>3</v>
      </c>
      <c r="B8" s="22"/>
    </row>
    <row r="9" spans="1:21" ht="14.25" customHeight="1" x14ac:dyDescent="0.25">
      <c r="A9" s="5" t="s">
        <v>4</v>
      </c>
      <c r="B9" s="22"/>
    </row>
    <row r="10" spans="1:21" ht="14.25" customHeight="1" thickBot="1" x14ac:dyDescent="0.3">
      <c r="A10" s="6" t="s">
        <v>5</v>
      </c>
      <c r="B10" s="22"/>
    </row>
    <row r="11" spans="1:21" ht="14.25" customHeight="1" x14ac:dyDescent="0.25">
      <c r="A11" s="7"/>
      <c r="B11" s="7"/>
    </row>
    <row r="12" spans="1:21" ht="14.25" customHeight="1" thickBot="1" x14ac:dyDescent="0.3">
      <c r="A12" s="1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1" ht="14.25" customHeight="1" x14ac:dyDescent="0.25">
      <c r="A13" s="7"/>
      <c r="B13" s="7"/>
    </row>
    <row r="14" spans="1:21" ht="14.25" customHeight="1" x14ac:dyDescent="0.25">
      <c r="A14" s="41" t="s">
        <v>639</v>
      </c>
      <c r="B14" s="38" t="s">
        <v>1</v>
      </c>
      <c r="C14" s="39" t="s">
        <v>2</v>
      </c>
      <c r="D14" s="39" t="s">
        <v>3</v>
      </c>
      <c r="E14" s="39" t="s">
        <v>4</v>
      </c>
      <c r="F14" s="39" t="s">
        <v>638</v>
      </c>
      <c r="G14" s="23" t="s">
        <v>640</v>
      </c>
    </row>
    <row r="15" spans="1:21" ht="14.25" customHeight="1" x14ac:dyDescent="0.25">
      <c r="A15" s="40" t="s">
        <v>40</v>
      </c>
      <c r="B15" s="20">
        <f>COUNTIFS(Raw!$G:$G,Summary!$A15,Raw!$F:$F,Summary!B$14)</f>
        <v>0</v>
      </c>
      <c r="C15" s="20">
        <f>COUNTIFS(Raw!$G:$G,Summary!$A15,Raw!$F:$F,Summary!C$14)</f>
        <v>12</v>
      </c>
      <c r="D15" s="20">
        <f>COUNTIFS(Raw!$G:$G,Summary!$A15,Raw!$F:$F,Summary!D$14)</f>
        <v>14</v>
      </c>
      <c r="E15" s="20">
        <f>COUNTIFS(Raw!$G:$G,Summary!$A15,Raw!$F:$F,Summary!E$14)</f>
        <v>26</v>
      </c>
      <c r="F15" s="20">
        <f>COUNTIFS(Raw!$G:$G,Summary!$A15,Raw!$F:$F,Summary!F$14)</f>
        <v>14</v>
      </c>
      <c r="G15" s="26">
        <f t="shared" ref="G15:G24" si="0">SUM(B15:F15)</f>
        <v>66</v>
      </c>
    </row>
    <row r="16" spans="1:21" ht="14.25" customHeight="1" x14ac:dyDescent="0.25">
      <c r="A16" s="40" t="s">
        <v>42</v>
      </c>
      <c r="B16" s="20">
        <f>COUNTIFS(Raw!$G:$G,Summary!$A16,Raw!$F:$F,Summary!B$14)</f>
        <v>0</v>
      </c>
      <c r="C16" s="20">
        <f>COUNTIFS(Raw!$G:$G,Summary!$A16,Raw!$F:$F,Summary!C$14)</f>
        <v>13</v>
      </c>
      <c r="D16" s="20">
        <f>COUNTIFS(Raw!$G:$G,Summary!$A16,Raw!$F:$F,Summary!D$14)</f>
        <v>19</v>
      </c>
      <c r="E16" s="20">
        <f>COUNTIFS(Raw!$G:$G,Summary!$A16,Raw!$F:$F,Summary!E$14)</f>
        <v>22</v>
      </c>
      <c r="F16" s="20">
        <f>COUNTIFS(Raw!$G:$G,Summary!$A16,Raw!$F:$F,Summary!F$14)</f>
        <v>7</v>
      </c>
      <c r="G16" s="26">
        <f t="shared" si="0"/>
        <v>61</v>
      </c>
    </row>
    <row r="17" spans="1:7" ht="14.25" customHeight="1" x14ac:dyDescent="0.25">
      <c r="A17" s="40" t="s">
        <v>45</v>
      </c>
      <c r="B17" s="20">
        <f>COUNTIFS(Raw!$G:$G,Summary!$A17,Raw!$F:$F,Summary!B$14)</f>
        <v>0</v>
      </c>
      <c r="C17" s="20">
        <f>COUNTIFS(Raw!$G:$G,Summary!$A17,Raw!$F:$F,Summary!C$14)</f>
        <v>13</v>
      </c>
      <c r="D17" s="20">
        <f>COUNTIFS(Raw!$G:$G,Summary!$A17,Raw!$F:$F,Summary!D$14)</f>
        <v>15</v>
      </c>
      <c r="E17" s="20">
        <f>COUNTIFS(Raw!$G:$G,Summary!$A17,Raw!$F:$F,Summary!E$14)</f>
        <v>37</v>
      </c>
      <c r="F17" s="20">
        <f>COUNTIFS(Raw!$G:$G,Summary!$A17,Raw!$F:$F,Summary!F$14)</f>
        <v>3</v>
      </c>
      <c r="G17" s="26">
        <f t="shared" si="0"/>
        <v>68</v>
      </c>
    </row>
    <row r="18" spans="1:7" ht="14.25" customHeight="1" x14ac:dyDescent="0.25">
      <c r="A18" s="40" t="s">
        <v>49</v>
      </c>
      <c r="B18" s="20">
        <f>COUNTIFS(Raw!$G:$G,Summary!$A18,Raw!$F:$F,Summary!B$14)</f>
        <v>0</v>
      </c>
      <c r="C18" s="20">
        <f>COUNTIFS(Raw!$G:$G,Summary!$A18,Raw!$F:$F,Summary!C$14)</f>
        <v>9</v>
      </c>
      <c r="D18" s="20">
        <f>COUNTIFS(Raw!$G:$G,Summary!$A18,Raw!$F:$F,Summary!D$14)</f>
        <v>21</v>
      </c>
      <c r="E18" s="20">
        <f>COUNTIFS(Raw!$G:$G,Summary!$A18,Raw!$F:$F,Summary!E$14)</f>
        <v>24</v>
      </c>
      <c r="F18" s="20">
        <f>COUNTIFS(Raw!$G:$G,Summary!$A18,Raw!$F:$F,Summary!F$14)</f>
        <v>8</v>
      </c>
      <c r="G18" s="26">
        <f t="shared" si="0"/>
        <v>62</v>
      </c>
    </row>
    <row r="19" spans="1:7" ht="14.25" customHeight="1" x14ac:dyDescent="0.25">
      <c r="A19" s="40" t="s">
        <v>51</v>
      </c>
      <c r="B19" s="20">
        <f>COUNTIFS(Raw!$G:$G,Summary!$A19,Raw!$F:$F,Summary!B$14)</f>
        <v>0</v>
      </c>
      <c r="C19" s="20">
        <f>COUNTIFS(Raw!$G:$G,Summary!$A19,Raw!$F:$F,Summary!C$14)</f>
        <v>11</v>
      </c>
      <c r="D19" s="20">
        <f>COUNTIFS(Raw!$G:$G,Summary!$A19,Raw!$F:$F,Summary!D$14)</f>
        <v>10</v>
      </c>
      <c r="E19" s="20">
        <f>COUNTIFS(Raw!$G:$G,Summary!$A19,Raw!$F:$F,Summary!E$14)</f>
        <v>28</v>
      </c>
      <c r="F19" s="20">
        <f>COUNTIFS(Raw!$G:$G,Summary!$A19,Raw!$F:$F,Summary!F$14)</f>
        <v>6</v>
      </c>
      <c r="G19" s="26">
        <f t="shared" si="0"/>
        <v>55</v>
      </c>
    </row>
    <row r="20" spans="1:7" ht="14.25" customHeight="1" x14ac:dyDescent="0.25">
      <c r="A20" s="40" t="s">
        <v>53</v>
      </c>
      <c r="B20" s="20">
        <f>COUNTIFS(Raw!$G:$G,Summary!$A20,Raw!$F:$F,Summary!B$14)</f>
        <v>0</v>
      </c>
      <c r="C20" s="20">
        <f>COUNTIFS(Raw!$G:$G,Summary!$A20,Raw!$F:$F,Summary!C$14)</f>
        <v>9</v>
      </c>
      <c r="D20" s="20">
        <f>COUNTIFS(Raw!$G:$G,Summary!$A20,Raw!$F:$F,Summary!D$14)</f>
        <v>12</v>
      </c>
      <c r="E20" s="20">
        <f>COUNTIFS(Raw!$G:$G,Summary!$A20,Raw!$F:$F,Summary!E$14)</f>
        <v>27</v>
      </c>
      <c r="F20" s="20">
        <f>COUNTIFS(Raw!$G:$G,Summary!$A20,Raw!$F:$F,Summary!F$14)</f>
        <v>8</v>
      </c>
      <c r="G20" s="26">
        <f t="shared" si="0"/>
        <v>56</v>
      </c>
    </row>
    <row r="21" spans="1:7" ht="14.25" customHeight="1" x14ac:dyDescent="0.25">
      <c r="A21" s="40" t="s">
        <v>58</v>
      </c>
      <c r="B21" s="20">
        <f>COUNTIFS(Raw!$G:$G,Summary!$A21,Raw!$F:$F,Summary!B$14)</f>
        <v>0</v>
      </c>
      <c r="C21" s="20">
        <f>COUNTIFS(Raw!$G:$G,Summary!$A21,Raw!$F:$F,Summary!C$14)</f>
        <v>6</v>
      </c>
      <c r="D21" s="20">
        <f>COUNTIFS(Raw!$G:$G,Summary!$A21,Raw!$F:$F,Summary!D$14)</f>
        <v>14</v>
      </c>
      <c r="E21" s="20">
        <f>COUNTIFS(Raw!$G:$G,Summary!$A21,Raw!$F:$F,Summary!E$14)</f>
        <v>34</v>
      </c>
      <c r="F21" s="20">
        <f>COUNTIFS(Raw!$G:$G,Summary!$A21,Raw!$F:$F,Summary!F$14)</f>
        <v>11</v>
      </c>
      <c r="G21" s="26">
        <f t="shared" si="0"/>
        <v>65</v>
      </c>
    </row>
    <row r="22" spans="1:7" ht="14.25" customHeight="1" x14ac:dyDescent="0.25">
      <c r="A22" s="40" t="s">
        <v>60</v>
      </c>
      <c r="B22" s="20">
        <f>COUNTIFS(Raw!$G:$G,Summary!$A22,Raw!$F:$F,Summary!B$14)</f>
        <v>0</v>
      </c>
      <c r="C22" s="20">
        <f>COUNTIFS(Raw!$G:$G,Summary!$A22,Raw!$F:$F,Summary!C$14)</f>
        <v>15</v>
      </c>
      <c r="D22" s="20">
        <f>COUNTIFS(Raw!$G:$G,Summary!$A22,Raw!$F:$F,Summary!D$14)</f>
        <v>11</v>
      </c>
      <c r="E22" s="20">
        <f>COUNTIFS(Raw!$G:$G,Summary!$A22,Raw!$F:$F,Summary!E$14)</f>
        <v>25</v>
      </c>
      <c r="F22" s="20">
        <f>COUNTIFS(Raw!$G:$G,Summary!$A22,Raw!$F:$F,Summary!F$14)</f>
        <v>8</v>
      </c>
      <c r="G22" s="26">
        <f t="shared" si="0"/>
        <v>59</v>
      </c>
    </row>
    <row r="23" spans="1:7" ht="14.25" customHeight="1" x14ac:dyDescent="0.25">
      <c r="A23" s="40" t="s">
        <v>63</v>
      </c>
      <c r="B23" s="20">
        <f>COUNTIFS(Raw!$G:$G,Summary!$A23,Raw!$F:$F,Summary!B$14)</f>
        <v>0</v>
      </c>
      <c r="C23" s="20">
        <f>COUNTIFS(Raw!$G:$G,Summary!$A23,Raw!$F:$F,Summary!C$14)</f>
        <v>10</v>
      </c>
      <c r="D23" s="20">
        <f>COUNTIFS(Raw!$G:$G,Summary!$A23,Raw!$F:$F,Summary!D$14)</f>
        <v>22</v>
      </c>
      <c r="E23" s="20">
        <f>COUNTIFS(Raw!$G:$G,Summary!$A23,Raw!$F:$F,Summary!E$14)</f>
        <v>34</v>
      </c>
      <c r="F23" s="20">
        <f>COUNTIFS(Raw!$G:$G,Summary!$A23,Raw!$F:$F,Summary!F$14)</f>
        <v>6</v>
      </c>
      <c r="G23" s="26">
        <f t="shared" si="0"/>
        <v>72</v>
      </c>
    </row>
    <row r="24" spans="1:7" ht="14.25" customHeight="1" x14ac:dyDescent="0.25">
      <c r="A24" s="40" t="s">
        <v>66</v>
      </c>
      <c r="B24" s="20">
        <f>COUNTIFS(Raw!$G:$G,Summary!$A24,Raw!$F:$F,Summary!B$14)</f>
        <v>0</v>
      </c>
      <c r="C24" s="20">
        <f>COUNTIFS(Raw!$G:$G,Summary!$A24,Raw!$F:$F,Summary!C$14)</f>
        <v>3</v>
      </c>
      <c r="D24" s="20">
        <f>COUNTIFS(Raw!$G:$G,Summary!$A24,Raw!$F:$F,Summary!D$14)</f>
        <v>13</v>
      </c>
      <c r="E24" s="20">
        <f>COUNTIFS(Raw!$G:$G,Summary!$A24,Raw!$F:$F,Summary!E$14)</f>
        <v>28</v>
      </c>
      <c r="F24" s="20">
        <f>COUNTIFS(Raw!$G:$G,Summary!$A24,Raw!$F:$F,Summary!F$14)</f>
        <v>5</v>
      </c>
      <c r="G24" s="26">
        <f t="shared" si="0"/>
        <v>49</v>
      </c>
    </row>
    <row r="25" spans="1:7" ht="14.25" customHeight="1" x14ac:dyDescent="0.25">
      <c r="A25" s="24" t="s">
        <v>640</v>
      </c>
      <c r="B25" s="24">
        <f t="shared" ref="B25:G25" si="1">SUM(B15:B24)</f>
        <v>0</v>
      </c>
      <c r="C25" s="26">
        <f t="shared" si="1"/>
        <v>101</v>
      </c>
      <c r="D25" s="26">
        <f t="shared" si="1"/>
        <v>151</v>
      </c>
      <c r="E25" s="26">
        <f t="shared" si="1"/>
        <v>285</v>
      </c>
      <c r="F25" s="26">
        <f t="shared" si="1"/>
        <v>76</v>
      </c>
      <c r="G25" s="26">
        <f t="shared" si="1"/>
        <v>613</v>
      </c>
    </row>
    <row r="26" spans="1:7" ht="14.25" customHeight="1" x14ac:dyDescent="0.25">
      <c r="A26" s="25"/>
      <c r="B26" s="25"/>
      <c r="C26" s="31"/>
      <c r="D26" s="31"/>
      <c r="E26" s="31"/>
      <c r="F26" s="31"/>
      <c r="G26" s="31"/>
    </row>
    <row r="27" spans="1:7" ht="14.25" customHeight="1" x14ac:dyDescent="0.25">
      <c r="A27" s="25"/>
      <c r="B27" s="25"/>
      <c r="C27" s="31"/>
      <c r="D27" s="31"/>
      <c r="E27" s="31"/>
      <c r="F27" s="31"/>
      <c r="G27" s="31"/>
    </row>
    <row r="28" spans="1:7" ht="14.25" customHeight="1" x14ac:dyDescent="0.25">
      <c r="A28" s="25"/>
      <c r="B28" s="25"/>
      <c r="C28" s="31"/>
      <c r="D28" s="31"/>
      <c r="E28" s="31"/>
      <c r="F28" s="31"/>
      <c r="G28" s="31"/>
    </row>
    <row r="29" spans="1:7" ht="14.25" customHeight="1" x14ac:dyDescent="0.25">
      <c r="A29" s="25"/>
      <c r="B29" s="25"/>
      <c r="C29" s="31"/>
      <c r="D29" s="31"/>
      <c r="E29" s="31"/>
      <c r="F29" s="31"/>
      <c r="G29" s="31"/>
    </row>
    <row r="30" spans="1:7" ht="14.25" customHeight="1" x14ac:dyDescent="0.25">
      <c r="A30" s="25"/>
      <c r="B30" s="25"/>
      <c r="C30" s="31"/>
      <c r="D30" s="31"/>
      <c r="E30" s="31"/>
      <c r="F30" s="31"/>
      <c r="G30" s="31"/>
    </row>
    <row r="31" spans="1:7" ht="14.25" customHeight="1" x14ac:dyDescent="0.25">
      <c r="A31" s="25"/>
      <c r="B31" s="25"/>
      <c r="C31" s="31"/>
      <c r="D31" s="31"/>
      <c r="E31" s="31"/>
      <c r="F31" s="31"/>
      <c r="G31" s="31"/>
    </row>
    <row r="32" spans="1:7" ht="14.25" customHeight="1" x14ac:dyDescent="0.25">
      <c r="A32" s="25"/>
      <c r="B32" s="25"/>
      <c r="C32" s="31"/>
      <c r="D32" s="31"/>
      <c r="E32" s="31"/>
      <c r="F32" s="31"/>
      <c r="G32" s="31"/>
    </row>
    <row r="33" spans="1:7" ht="14.25" customHeight="1" x14ac:dyDescent="0.25">
      <c r="A33" s="25"/>
      <c r="B33" s="25"/>
      <c r="C33" s="31"/>
      <c r="D33" s="31"/>
      <c r="E33" s="31"/>
      <c r="F33" s="31"/>
      <c r="G33" s="31"/>
    </row>
    <row r="34" spans="1:7" ht="14.25" customHeight="1" x14ac:dyDescent="0.25">
      <c r="A34" s="25"/>
      <c r="B34" s="25"/>
      <c r="C34" s="31"/>
      <c r="D34" s="31"/>
      <c r="E34" s="31"/>
      <c r="F34" s="31"/>
      <c r="G34" s="31"/>
    </row>
    <row r="35" spans="1:7" ht="14.25" customHeight="1" x14ac:dyDescent="0.25">
      <c r="A35" s="7"/>
      <c r="B35" s="7"/>
    </row>
    <row r="36" spans="1:7" ht="14.25" customHeight="1" x14ac:dyDescent="0.25">
      <c r="A36" s="8"/>
      <c r="B36" s="8"/>
    </row>
    <row r="37" spans="1:7" ht="14.25" customHeight="1" x14ac:dyDescent="0.25">
      <c r="A37" s="7"/>
      <c r="B37" s="7"/>
    </row>
    <row r="38" spans="1:7" ht="14.25" customHeight="1" x14ac:dyDescent="0.25"/>
    <row r="39" spans="1:7" ht="14.25" customHeight="1" x14ac:dyDescent="0.25"/>
    <row r="40" spans="1:7" ht="14.25" customHeight="1" x14ac:dyDescent="0.25"/>
    <row r="41" spans="1:7" ht="14.25" customHeight="1" x14ac:dyDescent="0.25"/>
    <row r="42" spans="1:7" ht="14.25" customHeight="1" x14ac:dyDescent="0.25"/>
    <row r="43" spans="1:7" ht="14.25" customHeight="1" x14ac:dyDescent="0.25"/>
    <row r="44" spans="1:7" ht="14.25" customHeight="1" x14ac:dyDescent="0.25"/>
    <row r="45" spans="1:7" ht="14.25" customHeight="1" x14ac:dyDescent="0.25"/>
    <row r="46" spans="1:7" ht="14.25" customHeight="1" x14ac:dyDescent="0.25"/>
    <row r="47" spans="1:7" ht="14.25" customHeight="1" x14ac:dyDescent="0.25"/>
    <row r="48" spans="1:7" ht="14.25" customHeight="1" x14ac:dyDescent="0.25"/>
    <row r="49" spans="1:22" ht="14.25" customHeight="1" x14ac:dyDescent="0.25">
      <c r="A49" s="7"/>
      <c r="B49" s="7"/>
    </row>
    <row r="50" spans="1:22" ht="14.25" customHeight="1" thickBot="1" x14ac:dyDescent="0.3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22" ht="14.25" customHeight="1" x14ac:dyDescent="0.25">
      <c r="A51" s="7"/>
      <c r="B51" s="7"/>
    </row>
    <row r="52" spans="1:22" ht="14.25" customHeight="1" x14ac:dyDescent="0.25">
      <c r="A52" s="41" t="s">
        <v>639</v>
      </c>
      <c r="B52" s="38" t="s">
        <v>1</v>
      </c>
      <c r="C52" s="39" t="s">
        <v>2</v>
      </c>
      <c r="D52" s="39" t="s">
        <v>3</v>
      </c>
      <c r="E52" s="39" t="s">
        <v>4</v>
      </c>
      <c r="F52" s="39" t="s">
        <v>638</v>
      </c>
      <c r="G52" s="23" t="s">
        <v>640</v>
      </c>
    </row>
    <row r="53" spans="1:22" ht="14.25" customHeight="1" x14ac:dyDescent="0.25">
      <c r="A53" s="40" t="s">
        <v>40</v>
      </c>
      <c r="B53" s="27">
        <f>SUMIFS(Raw!$H:$H,Raw!$G:$G,Summary!$A53,Raw!$F:$F,Summary!B$52)</f>
        <v>0</v>
      </c>
      <c r="C53" s="27">
        <f>SUMIFS(Raw!$H:$H,Raw!$G:$G,Summary!$A53,Raw!$F:$F,Summary!C$52)</f>
        <v>23205.079999999998</v>
      </c>
      <c r="D53" s="27">
        <f>SUMIFS(Raw!$H:$H,Raw!$G:$G,Summary!$A53,Raw!$F:$F,Summary!D$52)</f>
        <v>39906.590000000004</v>
      </c>
      <c r="E53" s="27">
        <f>SUMIFS(Raw!$H:$H,Raw!$G:$G,Summary!$A53,Raw!$F:$F,Summary!E$52)</f>
        <v>71090.849999999991</v>
      </c>
      <c r="F53" s="27">
        <f>SUMIFS(Raw!$H:$H,Raw!$G:$G,Summary!$A53,Raw!$F:$F,Summary!F$52)</f>
        <v>36989.32</v>
      </c>
      <c r="G53" s="28">
        <f t="shared" ref="G53:G62" si="2">SUM(B53:F53)</f>
        <v>171191.84</v>
      </c>
    </row>
    <row r="54" spans="1:22" ht="14.25" customHeight="1" x14ac:dyDescent="0.25">
      <c r="A54" s="40" t="s">
        <v>42</v>
      </c>
      <c r="B54" s="27">
        <f>SUMIFS(Raw!$H:$H,Raw!$G:$G,Summary!$A54,Raw!$F:$F,Summary!B$52)</f>
        <v>0</v>
      </c>
      <c r="C54" s="27">
        <f>SUMIFS(Raw!$H:$H,Raw!$G:$G,Summary!$A54,Raw!$F:$F,Summary!C$52)</f>
        <v>37873.43</v>
      </c>
      <c r="D54" s="27">
        <f>SUMIFS(Raw!$H:$H,Raw!$G:$G,Summary!$A54,Raw!$F:$F,Summary!D$52)</f>
        <v>43316.77</v>
      </c>
      <c r="E54" s="27">
        <f>SUMIFS(Raw!$H:$H,Raw!$G:$G,Summary!$A54,Raw!$F:$F,Summary!E$52)</f>
        <v>59310.029999999992</v>
      </c>
      <c r="F54" s="27">
        <f>SUMIFS(Raw!$H:$H,Raw!$G:$G,Summary!$A54,Raw!$F:$F,Summary!F$52)</f>
        <v>9948.9</v>
      </c>
      <c r="G54" s="28">
        <f t="shared" si="2"/>
        <v>150449.12999999998</v>
      </c>
    </row>
    <row r="55" spans="1:22" ht="14.25" customHeight="1" x14ac:dyDescent="0.25">
      <c r="A55" s="40" t="s">
        <v>45</v>
      </c>
      <c r="B55" s="27">
        <f>SUMIFS(Raw!$H:$H,Raw!$G:$G,Summary!$A55,Raw!$F:$F,Summary!B$52)</f>
        <v>0</v>
      </c>
      <c r="C55" s="27">
        <f>SUMIFS(Raw!$H:$H,Raw!$G:$G,Summary!$A55,Raw!$F:$F,Summary!C$52)</f>
        <v>37934.85</v>
      </c>
      <c r="D55" s="27">
        <f>SUMIFS(Raw!$H:$H,Raw!$G:$G,Summary!$A55,Raw!$F:$F,Summary!D$52)</f>
        <v>42266.250000000007</v>
      </c>
      <c r="E55" s="27">
        <f>SUMIFS(Raw!$H:$H,Raw!$G:$G,Summary!$A55,Raw!$F:$F,Summary!E$52)</f>
        <v>82905.029999999984</v>
      </c>
      <c r="F55" s="27">
        <f>SUMIFS(Raw!$H:$H,Raw!$G:$G,Summary!$A55,Raw!$F:$F,Summary!F$52)</f>
        <v>8117.85</v>
      </c>
      <c r="G55" s="28">
        <f t="shared" si="2"/>
        <v>171223.98</v>
      </c>
    </row>
    <row r="56" spans="1:22" ht="14.25" customHeight="1" x14ac:dyDescent="0.25">
      <c r="A56" s="40" t="s">
        <v>49</v>
      </c>
      <c r="B56" s="27">
        <f>SUMIFS(Raw!$H:$H,Raw!$G:$G,Summary!$A56,Raw!$F:$F,Summary!B$52)</f>
        <v>0</v>
      </c>
      <c r="C56" s="27">
        <f>SUMIFS(Raw!$H:$H,Raw!$G:$G,Summary!$A56,Raw!$F:$F,Summary!C$52)</f>
        <v>21578.219999999998</v>
      </c>
      <c r="D56" s="27">
        <f>SUMIFS(Raw!$H:$H,Raw!$G:$G,Summary!$A56,Raw!$F:$F,Summary!D$52)</f>
        <v>65590.5</v>
      </c>
      <c r="E56" s="27">
        <f>SUMIFS(Raw!$H:$H,Raw!$G:$G,Summary!$A56,Raw!$F:$F,Summary!E$52)</f>
        <v>69887.840000000011</v>
      </c>
      <c r="F56" s="27">
        <f>SUMIFS(Raw!$H:$H,Raw!$G:$G,Summary!$A56,Raw!$F:$F,Summary!F$52)</f>
        <v>22048.149999999998</v>
      </c>
      <c r="G56" s="28">
        <f t="shared" si="2"/>
        <v>179104.71</v>
      </c>
    </row>
    <row r="57" spans="1:22" ht="14.25" customHeight="1" x14ac:dyDescent="0.25">
      <c r="A57" s="40" t="s">
        <v>51</v>
      </c>
      <c r="B57" s="27">
        <f>SUMIFS(Raw!$H:$H,Raw!$G:$G,Summary!$A57,Raw!$F:$F,Summary!B$52)</f>
        <v>0</v>
      </c>
      <c r="C57" s="27">
        <f>SUMIFS(Raw!$H:$H,Raw!$G:$G,Summary!$A57,Raw!$F:$F,Summary!C$52)</f>
        <v>27546.66</v>
      </c>
      <c r="D57" s="27">
        <f>SUMIFS(Raw!$H:$H,Raw!$G:$G,Summary!$A57,Raw!$F:$F,Summary!D$52)</f>
        <v>22033.23</v>
      </c>
      <c r="E57" s="27">
        <f>SUMIFS(Raw!$H:$H,Raw!$G:$G,Summary!$A57,Raw!$F:$F,Summary!E$52)</f>
        <v>70891.28</v>
      </c>
      <c r="F57" s="27">
        <f>SUMIFS(Raw!$H:$H,Raw!$G:$G,Summary!$A57,Raw!$F:$F,Summary!F$52)</f>
        <v>14441.54</v>
      </c>
      <c r="G57" s="28">
        <f t="shared" si="2"/>
        <v>134912.71</v>
      </c>
    </row>
    <row r="58" spans="1:22" ht="14.25" customHeight="1" x14ac:dyDescent="0.25">
      <c r="A58" s="40" t="s">
        <v>53</v>
      </c>
      <c r="B58" s="27">
        <f>SUMIFS(Raw!$H:$H,Raw!$G:$G,Summary!$A58,Raw!$F:$F,Summary!B$52)</f>
        <v>0</v>
      </c>
      <c r="C58" s="27">
        <f>SUMIFS(Raw!$H:$H,Raw!$G:$G,Summary!$A58,Raw!$F:$F,Summary!C$52)</f>
        <v>23558.879999999997</v>
      </c>
      <c r="D58" s="27">
        <f>SUMIFS(Raw!$H:$H,Raw!$G:$G,Summary!$A58,Raw!$F:$F,Summary!D$52)</f>
        <v>30986.940000000002</v>
      </c>
      <c r="E58" s="27">
        <f>SUMIFS(Raw!$H:$H,Raw!$G:$G,Summary!$A58,Raw!$F:$F,Summary!E$52)</f>
        <v>64935.039999999994</v>
      </c>
      <c r="F58" s="27">
        <f>SUMIFS(Raw!$H:$H,Raw!$G:$G,Summary!$A58,Raw!$F:$F,Summary!F$52)</f>
        <v>22246.76</v>
      </c>
      <c r="G58" s="28">
        <f t="shared" si="2"/>
        <v>141727.62</v>
      </c>
    </row>
    <row r="59" spans="1:22" ht="14.25" customHeight="1" x14ac:dyDescent="0.25">
      <c r="A59" s="40" t="s">
        <v>58</v>
      </c>
      <c r="B59" s="27">
        <f>SUMIFS(Raw!$H:$H,Raw!$G:$G,Summary!$A59,Raw!$F:$F,Summary!B$52)</f>
        <v>0</v>
      </c>
      <c r="C59" s="27">
        <f>SUMIFS(Raw!$H:$H,Raw!$G:$G,Summary!$A59,Raw!$F:$F,Summary!C$52)</f>
        <v>20833.09</v>
      </c>
      <c r="D59" s="27">
        <f>SUMIFS(Raw!$H:$H,Raw!$G:$G,Summary!$A59,Raw!$F:$F,Summary!D$52)</f>
        <v>36657.909999999996</v>
      </c>
      <c r="E59" s="27">
        <f>SUMIFS(Raw!$H:$H,Raw!$G:$G,Summary!$A59,Raw!$F:$F,Summary!E$52)</f>
        <v>84683.050000000017</v>
      </c>
      <c r="F59" s="27">
        <f>SUMIFS(Raw!$H:$H,Raw!$G:$G,Summary!$A59,Raw!$F:$F,Summary!F$52)</f>
        <v>35319.740000000005</v>
      </c>
      <c r="G59" s="28">
        <f t="shared" si="2"/>
        <v>177493.79000000004</v>
      </c>
    </row>
    <row r="60" spans="1:22" ht="14.25" customHeight="1" x14ac:dyDescent="0.25">
      <c r="A60" s="40" t="s">
        <v>60</v>
      </c>
      <c r="B60" s="27">
        <f>SUMIFS(Raw!$H:$H,Raw!$G:$G,Summary!$A60,Raw!$F:$F,Summary!B$52)</f>
        <v>0</v>
      </c>
      <c r="C60" s="27">
        <f>SUMIFS(Raw!$H:$H,Raw!$G:$G,Summary!$A60,Raw!$F:$F,Summary!C$52)</f>
        <v>40577.800000000003</v>
      </c>
      <c r="D60" s="27">
        <f>SUMIFS(Raw!$H:$H,Raw!$G:$G,Summary!$A60,Raw!$F:$F,Summary!D$52)</f>
        <v>21824.710000000003</v>
      </c>
      <c r="E60" s="27">
        <f>SUMIFS(Raw!$H:$H,Raw!$G:$G,Summary!$A60,Raw!$F:$F,Summary!E$52)</f>
        <v>72864.959999999992</v>
      </c>
      <c r="F60" s="27">
        <f>SUMIFS(Raw!$H:$H,Raw!$G:$G,Summary!$A60,Raw!$F:$F,Summary!F$52)</f>
        <v>17620.330000000002</v>
      </c>
      <c r="G60" s="28">
        <f t="shared" si="2"/>
        <v>152887.79999999999</v>
      </c>
    </row>
    <row r="61" spans="1:22" ht="14.25" customHeight="1" x14ac:dyDescent="0.25">
      <c r="A61" s="40" t="s">
        <v>63</v>
      </c>
      <c r="B61" s="27">
        <f>SUMIFS(Raw!$H:$H,Raw!$G:$G,Summary!$A61,Raw!$F:$F,Summary!B$52)</f>
        <v>0</v>
      </c>
      <c r="C61" s="27">
        <f>SUMIFS(Raw!$H:$H,Raw!$G:$G,Summary!$A61,Raw!$F:$F,Summary!C$52)</f>
        <v>27593.080000000005</v>
      </c>
      <c r="D61" s="27">
        <f>SUMIFS(Raw!$H:$H,Raw!$G:$G,Summary!$A61,Raw!$F:$F,Summary!D$52)</f>
        <v>59001.74</v>
      </c>
      <c r="E61" s="27">
        <f>SUMIFS(Raw!$H:$H,Raw!$G:$G,Summary!$A61,Raw!$F:$F,Summary!E$52)</f>
        <v>85331.91</v>
      </c>
      <c r="F61" s="27">
        <f>SUMIFS(Raw!$H:$H,Raw!$G:$G,Summary!$A61,Raw!$F:$F,Summary!F$52)</f>
        <v>15752.61</v>
      </c>
      <c r="G61" s="28">
        <f t="shared" si="2"/>
        <v>187679.34000000003</v>
      </c>
    </row>
    <row r="62" spans="1:22" ht="14.25" customHeight="1" x14ac:dyDescent="0.25">
      <c r="A62" s="40" t="s">
        <v>66</v>
      </c>
      <c r="B62" s="27">
        <f>SUMIFS(Raw!$H:$H,Raw!$G:$G,Summary!$A62,Raw!$F:$F,Summary!B$52)</f>
        <v>0</v>
      </c>
      <c r="C62" s="27">
        <f>SUMIFS(Raw!$H:$H,Raw!$G:$G,Summary!$A62,Raw!$F:$F,Summary!C$52)</f>
        <v>6867.68</v>
      </c>
      <c r="D62" s="27">
        <f>SUMIFS(Raw!$H:$H,Raw!$G:$G,Summary!$A62,Raw!$F:$F,Summary!D$52)</f>
        <v>38613.9</v>
      </c>
      <c r="E62" s="27">
        <f>SUMIFS(Raw!$H:$H,Raw!$G:$G,Summary!$A62,Raw!$F:$F,Summary!E$52)</f>
        <v>69180.069999999992</v>
      </c>
      <c r="F62" s="27">
        <f>SUMIFS(Raw!$H:$H,Raw!$G:$G,Summary!$A62,Raw!$F:$F,Summary!F$52)</f>
        <v>12196.43</v>
      </c>
      <c r="G62" s="28">
        <f t="shared" si="2"/>
        <v>126858.07999999999</v>
      </c>
    </row>
    <row r="63" spans="1:22" ht="14.25" customHeight="1" x14ac:dyDescent="0.25">
      <c r="A63" s="24" t="s">
        <v>640</v>
      </c>
      <c r="B63" s="24">
        <f t="shared" ref="B63:G63" si="3">SUM(B53:B62)</f>
        <v>0</v>
      </c>
      <c r="C63" s="28">
        <f t="shared" si="3"/>
        <v>267568.77</v>
      </c>
      <c r="D63" s="28">
        <f t="shared" si="3"/>
        <v>400198.54000000004</v>
      </c>
      <c r="E63" s="28">
        <f t="shared" si="3"/>
        <v>731080.05999999994</v>
      </c>
      <c r="F63" s="28">
        <f t="shared" si="3"/>
        <v>194681.63</v>
      </c>
      <c r="G63" s="28">
        <f t="shared" si="3"/>
        <v>1593529</v>
      </c>
      <c r="V63" s="25"/>
    </row>
    <row r="64" spans="1:22" ht="14.25" customHeight="1" x14ac:dyDescent="0.25">
      <c r="A64" s="25"/>
      <c r="B64" s="25"/>
      <c r="C64" s="31"/>
      <c r="D64" s="31"/>
      <c r="E64" s="31"/>
      <c r="F64" s="31"/>
      <c r="G64" s="31"/>
      <c r="V64" s="25"/>
    </row>
    <row r="65" spans="1:22" ht="14.25" customHeight="1" x14ac:dyDescent="0.25">
      <c r="A65" s="25"/>
      <c r="B65" s="25"/>
      <c r="C65" s="31"/>
      <c r="D65" s="31"/>
      <c r="E65" s="31"/>
      <c r="F65" s="31"/>
      <c r="G65" s="31"/>
      <c r="V65" s="25"/>
    </row>
    <row r="66" spans="1:22" ht="14.25" customHeight="1" x14ac:dyDescent="0.25">
      <c r="A66" s="25"/>
      <c r="B66" s="25"/>
      <c r="C66" s="31"/>
      <c r="D66" s="31"/>
      <c r="E66" s="31"/>
      <c r="F66" s="31"/>
      <c r="G66" s="31"/>
      <c r="V66" s="25"/>
    </row>
    <row r="67" spans="1:22" ht="14.25" customHeight="1" x14ac:dyDescent="0.25">
      <c r="A67" s="25"/>
      <c r="B67" s="25"/>
      <c r="C67" s="31"/>
      <c r="D67" s="31"/>
      <c r="E67" s="31"/>
      <c r="F67" s="31"/>
      <c r="G67" s="31"/>
      <c r="V67" s="25"/>
    </row>
    <row r="68" spans="1:22" ht="14.25" customHeight="1" x14ac:dyDescent="0.25">
      <c r="A68" s="25"/>
      <c r="B68" s="25"/>
      <c r="C68" s="31"/>
      <c r="D68" s="31"/>
      <c r="E68" s="31"/>
      <c r="F68" s="31"/>
      <c r="G68" s="31"/>
      <c r="V68" s="25"/>
    </row>
    <row r="69" spans="1:22" ht="14.25" customHeight="1" x14ac:dyDescent="0.25">
      <c r="A69" s="25"/>
      <c r="B69" s="25"/>
      <c r="C69" s="31"/>
      <c r="D69" s="31"/>
      <c r="E69" s="31"/>
      <c r="F69" s="31"/>
      <c r="G69" s="31"/>
      <c r="V69" s="25"/>
    </row>
    <row r="70" spans="1:22" ht="14.25" customHeight="1" x14ac:dyDescent="0.25">
      <c r="A70" s="25"/>
      <c r="B70" s="25"/>
      <c r="C70" s="31"/>
      <c r="D70" s="31"/>
      <c r="E70" s="31"/>
      <c r="F70" s="31"/>
      <c r="G70" s="31"/>
      <c r="V70" s="25"/>
    </row>
    <row r="71" spans="1:22" ht="14.25" customHeight="1" x14ac:dyDescent="0.25">
      <c r="A71" s="25"/>
      <c r="B71" s="25"/>
      <c r="C71" s="31"/>
      <c r="D71" s="31"/>
      <c r="E71" s="31"/>
      <c r="F71" s="31"/>
      <c r="G71" s="31"/>
      <c r="V71" s="25"/>
    </row>
    <row r="72" spans="1:22" ht="14.25" customHeight="1" x14ac:dyDescent="0.25">
      <c r="A72" s="25"/>
      <c r="B72" s="25"/>
      <c r="C72" s="31"/>
      <c r="D72" s="31"/>
      <c r="E72" s="31"/>
      <c r="F72" s="31"/>
      <c r="G72" s="31"/>
      <c r="V72" s="25"/>
    </row>
    <row r="73" spans="1:22" ht="14.25" customHeight="1" x14ac:dyDescent="0.25">
      <c r="A73" s="25"/>
      <c r="B73" s="25"/>
      <c r="C73" s="31"/>
      <c r="D73" s="31"/>
      <c r="E73" s="31"/>
      <c r="F73" s="31"/>
      <c r="G73" s="31"/>
      <c r="V73" s="25"/>
    </row>
    <row r="74" spans="1:22" ht="14.25" customHeight="1" x14ac:dyDescent="0.25">
      <c r="A74" s="25"/>
      <c r="B74" s="25"/>
      <c r="C74" s="31"/>
      <c r="D74" s="31"/>
      <c r="E74" s="31"/>
      <c r="F74" s="31"/>
      <c r="G74" s="31"/>
      <c r="V74" s="25"/>
    </row>
    <row r="75" spans="1:22" ht="14.25" customHeight="1" x14ac:dyDescent="0.25">
      <c r="A75" s="25"/>
      <c r="B75" s="7"/>
    </row>
    <row r="76" spans="1:22" ht="14.25" customHeight="1" x14ac:dyDescent="0.25"/>
    <row r="77" spans="1:22" ht="14.25" customHeight="1" x14ac:dyDescent="0.25"/>
    <row r="78" spans="1:22" ht="14.25" customHeight="1" x14ac:dyDescent="0.25"/>
    <row r="79" spans="1:22" ht="14.25" customHeight="1" x14ac:dyDescent="0.25"/>
    <row r="80" spans="1:22" ht="14.25" customHeight="1" x14ac:dyDescent="0.25"/>
    <row r="81" spans="1:17" ht="14.25" customHeight="1" x14ac:dyDescent="0.25"/>
    <row r="82" spans="1:17" ht="14.25" customHeight="1" x14ac:dyDescent="0.25"/>
    <row r="83" spans="1:17" ht="14.25" customHeight="1" x14ac:dyDescent="0.25"/>
    <row r="84" spans="1:17" ht="14.25" customHeight="1" x14ac:dyDescent="0.25"/>
    <row r="85" spans="1:17" ht="14.25" customHeight="1" x14ac:dyDescent="0.25"/>
    <row r="86" spans="1:17" ht="14.25" customHeight="1" x14ac:dyDescent="0.25"/>
    <row r="87" spans="1:17" ht="14.25" customHeight="1" x14ac:dyDescent="0.25">
      <c r="A87" s="7"/>
      <c r="B87" s="7"/>
    </row>
    <row r="88" spans="1:17" ht="14.25" customHeight="1" x14ac:dyDescent="0.25">
      <c r="A88" s="8"/>
      <c r="B88" s="8"/>
    </row>
    <row r="89" spans="1:17" ht="14.25" customHeight="1" x14ac:dyDescent="0.25"/>
    <row r="90" spans="1:17" ht="14.25" customHeight="1" thickBo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4.25" customHeight="1" thickBot="1" x14ac:dyDescent="0.3"/>
    <row r="92" spans="1:17" ht="14.25" customHeight="1" x14ac:dyDescent="0.25">
      <c r="A92" s="4" t="s">
        <v>6</v>
      </c>
      <c r="B92" s="21"/>
    </row>
    <row r="93" spans="1:17" ht="14.25" customHeight="1" x14ac:dyDescent="0.25">
      <c r="A93" s="5" t="s">
        <v>7</v>
      </c>
      <c r="B93" s="22"/>
    </row>
    <row r="94" spans="1:17" ht="14.25" customHeight="1" x14ac:dyDescent="0.25">
      <c r="A94" s="5" t="s">
        <v>8</v>
      </c>
      <c r="B94" s="22"/>
    </row>
    <row r="95" spans="1:17" ht="14.25" customHeight="1" x14ac:dyDescent="0.25">
      <c r="A95" s="5" t="s">
        <v>9</v>
      </c>
      <c r="B95" s="22"/>
    </row>
    <row r="96" spans="1:17" ht="14.25" customHeight="1" x14ac:dyDescent="0.25">
      <c r="A96" s="5" t="s">
        <v>10</v>
      </c>
      <c r="B96" s="22"/>
    </row>
    <row r="97" spans="1:17" ht="14.25" customHeight="1" x14ac:dyDescent="0.25">
      <c r="A97" s="5" t="s">
        <v>11</v>
      </c>
      <c r="B97" s="22"/>
    </row>
    <row r="98" spans="1:17" ht="14.25" customHeight="1" thickBot="1" x14ac:dyDescent="0.3">
      <c r="A98" s="6" t="s">
        <v>12</v>
      </c>
      <c r="B98" s="22"/>
    </row>
    <row r="99" spans="1:17" ht="14.25" customHeight="1" x14ac:dyDescent="0.25">
      <c r="A99" s="7"/>
      <c r="B99" s="7"/>
    </row>
    <row r="100" spans="1:17" ht="14.25" customHeight="1" x14ac:dyDescent="0.25">
      <c r="A100" s="7"/>
      <c r="B100" s="7"/>
    </row>
    <row r="101" spans="1:17" ht="14.25" customHeight="1" x14ac:dyDescent="0.25">
      <c r="A101" s="7"/>
      <c r="B101" s="7"/>
    </row>
    <row r="102" spans="1:17" ht="14.25" customHeight="1" thickBo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4.25" customHeight="1" x14ac:dyDescent="0.25">
      <c r="A103" s="7"/>
      <c r="B103" s="7"/>
    </row>
    <row r="104" spans="1:17" ht="14.25" customHeight="1" x14ac:dyDescent="0.25">
      <c r="A104" s="18" t="s">
        <v>641</v>
      </c>
      <c r="B104" s="36" t="s">
        <v>642</v>
      </c>
      <c r="C104" s="36" t="s">
        <v>8</v>
      </c>
      <c r="D104" s="36" t="s">
        <v>9</v>
      </c>
      <c r="E104" s="36" t="s">
        <v>10</v>
      </c>
      <c r="F104" s="36" t="s">
        <v>11</v>
      </c>
      <c r="G104" s="42" t="s">
        <v>643</v>
      </c>
      <c r="H104" s="18" t="s">
        <v>640</v>
      </c>
    </row>
    <row r="105" spans="1:17" ht="14.25" customHeight="1" x14ac:dyDescent="0.25">
      <c r="A105" s="40" t="s">
        <v>40</v>
      </c>
      <c r="B105" s="30">
        <f>SUMIFS(Raw!$H:$H,Raw!$G:$G,Summary!$A105,Raw!$I:$I,Summary!B$104)</f>
        <v>6493.26</v>
      </c>
      <c r="C105" s="30">
        <f>SUMIFS(Raw!$H:$H,Raw!$G:$G,Summary!$A105,Raw!$I:$I,Summary!C$104)</f>
        <v>18864.89</v>
      </c>
      <c r="D105" s="30">
        <f>SUMIFS(Raw!$H:$H,Raw!$G:$G,Summary!$A105,Raw!$I:$I,Summary!D$104)</f>
        <v>46353.18</v>
      </c>
      <c r="E105" s="30">
        <f>SUMIFS(Raw!$H:$H,Raw!$G:$G,Summary!$A105,Raw!$I:$I,Summary!E$104)</f>
        <v>54958.54</v>
      </c>
      <c r="F105" s="30">
        <f>SUMIFS(Raw!$H:$H,Raw!$G:$G,Summary!$A105,Raw!$I:$I,Summary!F$104)</f>
        <v>44521.97</v>
      </c>
      <c r="G105" s="19">
        <f>SUMIFS(Raw!$H:$H,Raw!$G:$G,Summary!$A105,Raw!$I:$I,Summary!G$104)</f>
        <v>0</v>
      </c>
      <c r="H105" s="28">
        <f t="shared" ref="H105:H114" si="4">SUM(B105:G105)</f>
        <v>171191.84</v>
      </c>
    </row>
    <row r="106" spans="1:17" ht="14.25" customHeight="1" x14ac:dyDescent="0.25">
      <c r="A106" s="40" t="s">
        <v>42</v>
      </c>
      <c r="B106" s="30">
        <f>SUMIFS(Raw!$H:$H,Raw!$G:$G,Summary!$A106,Raw!$I:$I,Summary!B$104)</f>
        <v>7254.9600000000019</v>
      </c>
      <c r="C106" s="30">
        <f>SUMIFS(Raw!$H:$H,Raw!$G:$G,Summary!$A106,Raw!$I:$I,Summary!C$104)</f>
        <v>21381.710000000003</v>
      </c>
      <c r="D106" s="30">
        <f>SUMIFS(Raw!$H:$H,Raw!$G:$G,Summary!$A106,Raw!$I:$I,Summary!D$104)</f>
        <v>38399.33</v>
      </c>
      <c r="E106" s="30">
        <f>SUMIFS(Raw!$H:$H,Raw!$G:$G,Summary!$A106,Raw!$I:$I,Summary!E$104)</f>
        <v>24692.149999999998</v>
      </c>
      <c r="F106" s="30">
        <f>SUMIFS(Raw!$H:$H,Raw!$G:$G,Summary!$A106,Raw!$I:$I,Summary!F$104)</f>
        <v>58720.98</v>
      </c>
      <c r="G106" s="19">
        <f>SUMIFS(Raw!$H:$H,Raw!$G:$G,Summary!$A106,Raw!$I:$I,Summary!G$104)</f>
        <v>0</v>
      </c>
      <c r="H106" s="28">
        <f t="shared" si="4"/>
        <v>150449.13</v>
      </c>
    </row>
    <row r="107" spans="1:17" ht="14.25" customHeight="1" x14ac:dyDescent="0.25">
      <c r="A107" s="40" t="s">
        <v>45</v>
      </c>
      <c r="B107" s="30">
        <f>SUMIFS(Raw!$H:$H,Raw!$G:$G,Summary!$A107,Raw!$I:$I,Summary!B$104)</f>
        <v>4289.92</v>
      </c>
      <c r="C107" s="30">
        <f>SUMIFS(Raw!$H:$H,Raw!$G:$G,Summary!$A107,Raw!$I:$I,Summary!C$104)</f>
        <v>26010.85</v>
      </c>
      <c r="D107" s="30">
        <f>SUMIFS(Raw!$H:$H,Raw!$G:$G,Summary!$A107,Raw!$I:$I,Summary!D$104)</f>
        <v>41159.170000000006</v>
      </c>
      <c r="E107" s="30">
        <f>SUMIFS(Raw!$H:$H,Raw!$G:$G,Summary!$A107,Raw!$I:$I,Summary!E$104)</f>
        <v>43996.650000000009</v>
      </c>
      <c r="F107" s="30">
        <f>SUMIFS(Raw!$H:$H,Raw!$G:$G,Summary!$A107,Raw!$I:$I,Summary!F$104)</f>
        <v>55767.39</v>
      </c>
      <c r="G107" s="19">
        <f>SUMIFS(Raw!$H:$H,Raw!$G:$G,Summary!$A107,Raw!$I:$I,Summary!G$104)</f>
        <v>0</v>
      </c>
      <c r="H107" s="28">
        <f t="shared" si="4"/>
        <v>171223.98</v>
      </c>
    </row>
    <row r="108" spans="1:17" ht="14.25" customHeight="1" x14ac:dyDescent="0.25">
      <c r="A108" s="40" t="s">
        <v>49</v>
      </c>
      <c r="B108" s="30">
        <f>SUMIFS(Raw!$H:$H,Raw!$G:$G,Summary!$A108,Raw!$I:$I,Summary!B$104)</f>
        <v>3378.2200000000003</v>
      </c>
      <c r="C108" s="30">
        <f>SUMIFS(Raw!$H:$H,Raw!$G:$G,Summary!$A108,Raw!$I:$I,Summary!C$104)</f>
        <v>23937.139999999996</v>
      </c>
      <c r="D108" s="30">
        <f>SUMIFS(Raw!$H:$H,Raw!$G:$G,Summary!$A108,Raw!$I:$I,Summary!D$104)</f>
        <v>30007.13</v>
      </c>
      <c r="E108" s="30">
        <f>SUMIFS(Raw!$H:$H,Raw!$G:$G,Summary!$A108,Raw!$I:$I,Summary!E$104)</f>
        <v>69097.630000000019</v>
      </c>
      <c r="F108" s="30">
        <f>SUMIFS(Raw!$H:$H,Raw!$G:$G,Summary!$A108,Raw!$I:$I,Summary!F$104)</f>
        <v>52684.590000000004</v>
      </c>
      <c r="G108" s="19">
        <f>SUMIFS(Raw!$H:$H,Raw!$G:$G,Summary!$A108,Raw!$I:$I,Summary!G$104)</f>
        <v>0</v>
      </c>
      <c r="H108" s="28">
        <f t="shared" si="4"/>
        <v>179104.71000000002</v>
      </c>
    </row>
    <row r="109" spans="1:17" ht="14.25" customHeight="1" x14ac:dyDescent="0.25">
      <c r="A109" s="40" t="s">
        <v>51</v>
      </c>
      <c r="B109" s="30">
        <f>SUMIFS(Raw!$H:$H,Raw!$G:$G,Summary!$A109,Raw!$I:$I,Summary!B$104)</f>
        <v>5352.45</v>
      </c>
      <c r="C109" s="30">
        <f>SUMIFS(Raw!$H:$H,Raw!$G:$G,Summary!$A109,Raw!$I:$I,Summary!C$104)</f>
        <v>25367.699999999997</v>
      </c>
      <c r="D109" s="30">
        <f>SUMIFS(Raw!$H:$H,Raw!$G:$G,Summary!$A109,Raw!$I:$I,Summary!D$104)</f>
        <v>14876.98</v>
      </c>
      <c r="E109" s="30">
        <f>SUMIFS(Raw!$H:$H,Raw!$G:$G,Summary!$A109,Raw!$I:$I,Summary!E$104)</f>
        <v>31323.72</v>
      </c>
      <c r="F109" s="30">
        <f>SUMIFS(Raw!$H:$H,Raw!$G:$G,Summary!$A109,Raw!$I:$I,Summary!F$104)</f>
        <v>57991.86</v>
      </c>
      <c r="G109" s="19">
        <f>SUMIFS(Raw!$H:$H,Raw!$G:$G,Summary!$A109,Raw!$I:$I,Summary!G$104)</f>
        <v>0</v>
      </c>
      <c r="H109" s="28">
        <f t="shared" si="4"/>
        <v>134912.71000000002</v>
      </c>
    </row>
    <row r="110" spans="1:17" ht="14.25" customHeight="1" x14ac:dyDescent="0.25">
      <c r="A110" s="40" t="s">
        <v>53</v>
      </c>
      <c r="B110" s="30">
        <f>SUMIFS(Raw!$H:$H,Raw!$G:$G,Summary!$A110,Raw!$I:$I,Summary!B$104)</f>
        <v>6001.9</v>
      </c>
      <c r="C110" s="30">
        <f>SUMIFS(Raw!$H:$H,Raw!$G:$G,Summary!$A110,Raw!$I:$I,Summary!C$104)</f>
        <v>11096.92</v>
      </c>
      <c r="D110" s="30">
        <f>SUMIFS(Raw!$H:$H,Raw!$G:$G,Summary!$A110,Raw!$I:$I,Summary!D$104)</f>
        <v>48925.84</v>
      </c>
      <c r="E110" s="30">
        <f>SUMIFS(Raw!$H:$H,Raw!$G:$G,Summary!$A110,Raw!$I:$I,Summary!E$104)</f>
        <v>29521.739999999998</v>
      </c>
      <c r="F110" s="30">
        <f>SUMIFS(Raw!$H:$H,Raw!$G:$G,Summary!$A110,Raw!$I:$I,Summary!F$104)</f>
        <v>46181.219999999987</v>
      </c>
      <c r="G110" s="19">
        <f>SUMIFS(Raw!$H:$H,Raw!$G:$G,Summary!$A110,Raw!$I:$I,Summary!G$104)</f>
        <v>0</v>
      </c>
      <c r="H110" s="28">
        <f t="shared" si="4"/>
        <v>141727.62</v>
      </c>
    </row>
    <row r="111" spans="1:17" ht="14.25" customHeight="1" x14ac:dyDescent="0.25">
      <c r="A111" s="40" t="s">
        <v>58</v>
      </c>
      <c r="B111" s="30">
        <f>SUMIFS(Raw!$H:$H,Raw!$G:$G,Summary!$A111,Raw!$I:$I,Summary!B$104)</f>
        <v>4500.05</v>
      </c>
      <c r="C111" s="30">
        <f>SUMIFS(Raw!$H:$H,Raw!$G:$G,Summary!$A111,Raw!$I:$I,Summary!C$104)</f>
        <v>19327.010000000002</v>
      </c>
      <c r="D111" s="30">
        <f>SUMIFS(Raw!$H:$H,Raw!$G:$G,Summary!$A111,Raw!$I:$I,Summary!D$104)</f>
        <v>34645.949999999997</v>
      </c>
      <c r="E111" s="30">
        <f>SUMIFS(Raw!$H:$H,Raw!$G:$G,Summary!$A111,Raw!$I:$I,Summary!E$104)</f>
        <v>59015.64</v>
      </c>
      <c r="F111" s="30">
        <f>SUMIFS(Raw!$H:$H,Raw!$G:$G,Summary!$A111,Raw!$I:$I,Summary!F$104)</f>
        <v>60005.14</v>
      </c>
      <c r="G111" s="19">
        <f>SUMIFS(Raw!$H:$H,Raw!$G:$G,Summary!$A111,Raw!$I:$I,Summary!G$104)</f>
        <v>0</v>
      </c>
      <c r="H111" s="28">
        <f t="shared" si="4"/>
        <v>177493.78999999998</v>
      </c>
    </row>
    <row r="112" spans="1:17" ht="14.25" customHeight="1" x14ac:dyDescent="0.25">
      <c r="A112" s="40" t="s">
        <v>60</v>
      </c>
      <c r="B112" s="30">
        <f>SUMIFS(Raw!$H:$H,Raw!$G:$G,Summary!$A112,Raw!$I:$I,Summary!B$104)</f>
        <v>6764.05</v>
      </c>
      <c r="C112" s="30">
        <f>SUMIFS(Raw!$H:$H,Raw!$G:$G,Summary!$A112,Raw!$I:$I,Summary!C$104)</f>
        <v>17258.25</v>
      </c>
      <c r="D112" s="30">
        <f>SUMIFS(Raw!$H:$H,Raw!$G:$G,Summary!$A112,Raw!$I:$I,Summary!D$104)</f>
        <v>37656.18</v>
      </c>
      <c r="E112" s="30">
        <f>SUMIFS(Raw!$H:$H,Raw!$G:$G,Summary!$A112,Raw!$I:$I,Summary!E$104)</f>
        <v>28559.78</v>
      </c>
      <c r="F112" s="30">
        <f>SUMIFS(Raw!$H:$H,Raw!$G:$G,Summary!$A112,Raw!$I:$I,Summary!F$104)</f>
        <v>62649.539999999994</v>
      </c>
      <c r="G112" s="19">
        <f>SUMIFS(Raw!$H:$H,Raw!$G:$G,Summary!$A112,Raw!$I:$I,Summary!G$104)</f>
        <v>0</v>
      </c>
      <c r="H112" s="28">
        <f t="shared" si="4"/>
        <v>152887.79999999999</v>
      </c>
    </row>
    <row r="113" spans="1:8" ht="14.25" customHeight="1" x14ac:dyDescent="0.25">
      <c r="A113" s="40" t="s">
        <v>63</v>
      </c>
      <c r="B113" s="30">
        <f>SUMIFS(Raw!$H:$H,Raw!$G:$G,Summary!$A113,Raw!$I:$I,Summary!B$104)</f>
        <v>7094.920000000001</v>
      </c>
      <c r="C113" s="30">
        <f>SUMIFS(Raw!$H:$H,Raw!$G:$G,Summary!$A113,Raw!$I:$I,Summary!C$104)</f>
        <v>22976.269999999997</v>
      </c>
      <c r="D113" s="30">
        <f>SUMIFS(Raw!$H:$H,Raw!$G:$G,Summary!$A113,Raw!$I:$I,Summary!D$104)</f>
        <v>49152.260000000009</v>
      </c>
      <c r="E113" s="30">
        <f>SUMIFS(Raw!$H:$H,Raw!$G:$G,Summary!$A113,Raw!$I:$I,Summary!E$104)</f>
        <v>39987.579999999994</v>
      </c>
      <c r="F113" s="30">
        <f>SUMIFS(Raw!$H:$H,Raw!$G:$G,Summary!$A113,Raw!$I:$I,Summary!F$104)</f>
        <v>68468.31</v>
      </c>
      <c r="G113" s="19">
        <f>SUMIFS(Raw!$H:$H,Raw!$G:$G,Summary!$A113,Raw!$I:$I,Summary!G$104)</f>
        <v>0</v>
      </c>
      <c r="H113" s="28">
        <f t="shared" si="4"/>
        <v>187679.34</v>
      </c>
    </row>
    <row r="114" spans="1:8" ht="14.25" customHeight="1" x14ac:dyDescent="0.25">
      <c r="A114" s="40" t="s">
        <v>66</v>
      </c>
      <c r="B114" s="30">
        <f>SUMIFS(Raw!$H:$H,Raw!$G:$G,Summary!$A114,Raw!$I:$I,Summary!B$104)</f>
        <v>3860.5</v>
      </c>
      <c r="C114" s="30">
        <f>SUMIFS(Raw!$H:$H,Raw!$G:$G,Summary!$A114,Raw!$I:$I,Summary!C$104)</f>
        <v>16936.910000000003</v>
      </c>
      <c r="D114" s="30">
        <f>SUMIFS(Raw!$H:$H,Raw!$G:$G,Summary!$A114,Raw!$I:$I,Summary!D$104)</f>
        <v>29497.200000000004</v>
      </c>
      <c r="E114" s="30">
        <f>SUMIFS(Raw!$H:$H,Raw!$G:$G,Summary!$A114,Raw!$I:$I,Summary!E$104)</f>
        <v>31194.250000000004</v>
      </c>
      <c r="F114" s="30">
        <f>SUMIFS(Raw!$H:$H,Raw!$G:$G,Summary!$A114,Raw!$I:$I,Summary!F$104)</f>
        <v>45369.220000000008</v>
      </c>
      <c r="G114" s="19">
        <f>SUMIFS(Raw!$H:$H,Raw!$G:$G,Summary!$A114,Raw!$I:$I,Summary!G$104)</f>
        <v>0</v>
      </c>
      <c r="H114" s="28">
        <f t="shared" si="4"/>
        <v>126858.08000000002</v>
      </c>
    </row>
    <row r="115" spans="1:8" ht="14.25" customHeight="1" x14ac:dyDescent="0.25">
      <c r="A115" s="24" t="s">
        <v>640</v>
      </c>
      <c r="B115" s="29">
        <f t="shared" ref="B115:H115" si="5">SUM(B105:B114)</f>
        <v>54990.23</v>
      </c>
      <c r="C115" s="28">
        <f t="shared" si="5"/>
        <v>203157.65</v>
      </c>
      <c r="D115" s="28">
        <f t="shared" si="5"/>
        <v>370673.22000000003</v>
      </c>
      <c r="E115" s="28">
        <f t="shared" si="5"/>
        <v>412347.68</v>
      </c>
      <c r="F115" s="28">
        <f t="shared" si="5"/>
        <v>552360.22</v>
      </c>
      <c r="G115" s="26">
        <f t="shared" si="5"/>
        <v>0</v>
      </c>
      <c r="H115" s="28">
        <f t="shared" si="5"/>
        <v>1593529</v>
      </c>
    </row>
    <row r="116" spans="1:8" ht="14.25" customHeight="1" x14ac:dyDescent="0.25">
      <c r="A116" s="25"/>
      <c r="B116" s="32"/>
      <c r="C116" s="33"/>
      <c r="D116" s="33"/>
      <c r="E116" s="33"/>
      <c r="F116" s="33"/>
      <c r="G116" s="31"/>
      <c r="H116" s="33"/>
    </row>
    <row r="117" spans="1:8" ht="14.25" customHeight="1" x14ac:dyDescent="0.25">
      <c r="A117" s="25"/>
      <c r="B117" s="32"/>
      <c r="C117" s="33"/>
      <c r="D117" s="33"/>
      <c r="E117" s="33"/>
      <c r="F117" s="33"/>
      <c r="G117" s="31"/>
      <c r="H117" s="33"/>
    </row>
    <row r="118" spans="1:8" ht="14.25" customHeight="1" x14ac:dyDescent="0.25">
      <c r="A118" s="25"/>
      <c r="B118" s="32"/>
      <c r="C118" s="33"/>
      <c r="D118" s="33"/>
      <c r="E118" s="33"/>
      <c r="F118" s="33"/>
      <c r="G118" s="31"/>
      <c r="H118" s="33"/>
    </row>
    <row r="119" spans="1:8" ht="14.25" customHeight="1" x14ac:dyDescent="0.25">
      <c r="A119" s="25"/>
      <c r="B119" s="32"/>
      <c r="C119" s="33"/>
      <c r="D119" s="33"/>
      <c r="E119" s="33"/>
      <c r="F119" s="33"/>
      <c r="G119" s="31"/>
      <c r="H119" s="33"/>
    </row>
    <row r="120" spans="1:8" ht="14.25" customHeight="1" x14ac:dyDescent="0.25">
      <c r="A120" s="25"/>
      <c r="B120" s="32"/>
      <c r="C120" s="33"/>
      <c r="D120" s="33"/>
      <c r="E120" s="33"/>
      <c r="F120" s="33"/>
      <c r="G120" s="31"/>
      <c r="H120" s="33"/>
    </row>
    <row r="121" spans="1:8" ht="14.25" customHeight="1" x14ac:dyDescent="0.25">
      <c r="A121" s="25"/>
      <c r="B121" s="32"/>
      <c r="C121" s="33"/>
      <c r="D121" s="33"/>
      <c r="E121" s="33"/>
      <c r="F121" s="33"/>
      <c r="G121" s="31"/>
      <c r="H121" s="33"/>
    </row>
    <row r="122" spans="1:8" ht="14.25" customHeight="1" x14ac:dyDescent="0.25">
      <c r="A122" s="25"/>
      <c r="B122" s="32"/>
      <c r="C122" s="33"/>
      <c r="D122" s="33"/>
      <c r="E122" s="33"/>
      <c r="F122" s="33"/>
      <c r="G122" s="31"/>
      <c r="H122" s="33"/>
    </row>
    <row r="123" spans="1:8" ht="14.25" customHeight="1" x14ac:dyDescent="0.25">
      <c r="A123" s="25"/>
      <c r="B123" s="32"/>
      <c r="C123" s="33"/>
      <c r="D123" s="33"/>
      <c r="E123" s="33"/>
      <c r="F123" s="33"/>
      <c r="G123" s="31"/>
      <c r="H123" s="33"/>
    </row>
    <row r="124" spans="1:8" ht="14.25" customHeight="1" x14ac:dyDescent="0.25">
      <c r="A124" s="25"/>
      <c r="B124" s="32"/>
      <c r="C124" s="33"/>
      <c r="D124" s="33"/>
      <c r="E124" s="33"/>
      <c r="F124" s="33"/>
      <c r="G124" s="31"/>
      <c r="H124" s="33"/>
    </row>
    <row r="125" spans="1:8" ht="14.25" customHeight="1" x14ac:dyDescent="0.25">
      <c r="A125" s="25"/>
      <c r="B125" s="32"/>
      <c r="C125" s="33"/>
      <c r="D125" s="33"/>
      <c r="E125" s="33"/>
      <c r="F125" s="33"/>
      <c r="G125" s="31"/>
      <c r="H125" s="33"/>
    </row>
    <row r="126" spans="1:8" ht="14.25" customHeight="1" x14ac:dyDescent="0.25">
      <c r="A126" s="25"/>
      <c r="B126" s="32"/>
      <c r="C126" s="33"/>
      <c r="D126" s="33"/>
      <c r="E126" s="33"/>
      <c r="F126" s="33"/>
      <c r="G126" s="31"/>
      <c r="H126" s="33"/>
    </row>
    <row r="127" spans="1:8" ht="14.25" customHeight="1" x14ac:dyDescent="0.25">
      <c r="A127" s="25"/>
      <c r="B127" s="32"/>
      <c r="C127" s="33"/>
      <c r="D127" s="33"/>
      <c r="E127" s="33"/>
      <c r="F127" s="33"/>
      <c r="G127" s="31"/>
      <c r="H127" s="33"/>
    </row>
    <row r="128" spans="1:8" ht="14.25" customHeight="1" x14ac:dyDescent="0.25">
      <c r="A128" s="25"/>
      <c r="B128" s="32"/>
      <c r="C128" s="33"/>
      <c r="D128" s="33"/>
      <c r="E128" s="33"/>
      <c r="F128" s="33"/>
      <c r="G128" s="31"/>
      <c r="H128" s="33"/>
    </row>
    <row r="129" spans="1:2" ht="14.25" customHeight="1" x14ac:dyDescent="0.25">
      <c r="A129" s="7"/>
      <c r="B129" s="7"/>
    </row>
    <row r="130" spans="1:2" ht="14.25" customHeight="1" x14ac:dyDescent="0.25">
      <c r="A130" s="7"/>
      <c r="B130" s="7"/>
    </row>
    <row r="131" spans="1:2" ht="14.25" customHeight="1" x14ac:dyDescent="0.25"/>
    <row r="132" spans="1:2" ht="14.25" customHeight="1" x14ac:dyDescent="0.25"/>
    <row r="133" spans="1:2" ht="14.25" customHeight="1" x14ac:dyDescent="0.25"/>
    <row r="134" spans="1:2" ht="14.25" customHeight="1" x14ac:dyDescent="0.25"/>
    <row r="135" spans="1:2" ht="14.25" customHeight="1" x14ac:dyDescent="0.25"/>
    <row r="136" spans="1:2" ht="14.25" customHeight="1" x14ac:dyDescent="0.25"/>
    <row r="137" spans="1:2" ht="14.25" customHeight="1" x14ac:dyDescent="0.25"/>
    <row r="138" spans="1:2" ht="14.25" customHeight="1" x14ac:dyDescent="0.25"/>
    <row r="139" spans="1:2" ht="14.25" customHeight="1" x14ac:dyDescent="0.25"/>
    <row r="140" spans="1:2" ht="14.25" customHeight="1" x14ac:dyDescent="0.25"/>
    <row r="141" spans="1:2" ht="14.25" customHeight="1" x14ac:dyDescent="0.25"/>
    <row r="142" spans="1:2" ht="14.25" customHeight="1" x14ac:dyDescent="0.25">
      <c r="A142" s="7"/>
      <c r="B142" s="7"/>
    </row>
    <row r="143" spans="1:2" ht="14.25" customHeight="1" x14ac:dyDescent="0.25">
      <c r="A143" s="8"/>
      <c r="B143" s="8"/>
    </row>
    <row r="144" spans="1:2" ht="14.25" customHeight="1" x14ac:dyDescent="0.25">
      <c r="A144" s="8"/>
      <c r="B144" s="8"/>
    </row>
    <row r="145" spans="1:17" ht="14.25" customHeight="1" thickBo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4.25" customHeight="1" x14ac:dyDescent="0.25"/>
    <row r="147" spans="1:17" ht="14.25" customHeight="1" x14ac:dyDescent="0.25">
      <c r="A147" s="34" t="s">
        <v>644</v>
      </c>
      <c r="B147" s="36" t="s">
        <v>642</v>
      </c>
      <c r="C147" s="36" t="s">
        <v>8</v>
      </c>
      <c r="D147" s="36" t="s">
        <v>9</v>
      </c>
      <c r="E147" s="36" t="s">
        <v>10</v>
      </c>
      <c r="F147" s="36" t="s">
        <v>11</v>
      </c>
      <c r="G147" s="42" t="s">
        <v>643</v>
      </c>
      <c r="H147" s="26" t="s">
        <v>640</v>
      </c>
    </row>
    <row r="148" spans="1:17" ht="14.25" customHeight="1" x14ac:dyDescent="0.25">
      <c r="A148" s="36" t="s">
        <v>1</v>
      </c>
      <c r="B148" s="30">
        <f>SUMIFS(Raw!$H:$H,Raw!$F:$F,Summary!$A148,Raw!$I:$I,Summary!B$147)</f>
        <v>0</v>
      </c>
      <c r="C148" s="30">
        <f>SUMIFS(Raw!$H:$H,Raw!$F:$F,Summary!$A148,Raw!$I:$I,Summary!C$147)</f>
        <v>0</v>
      </c>
      <c r="D148" s="30">
        <f>SUMIFS(Raw!$H:$H,Raw!$F:$F,Summary!$A148,Raw!$I:$I,Summary!D$147)</f>
        <v>0</v>
      </c>
      <c r="E148" s="30">
        <f>SUMIFS(Raw!$H:$H,Raw!$F:$F,Summary!$A148,Raw!$I:$I,Summary!E$147)</f>
        <v>0</v>
      </c>
      <c r="F148" s="30">
        <f>SUMIFS(Raw!$H:$H,Raw!$F:$F,Summary!$A148,Raw!$I:$I,Summary!F$147)</f>
        <v>0</v>
      </c>
      <c r="G148" s="30">
        <f>SUMIFS(Raw!$H:$H,Raw!$F:$F,Summary!$A148,Raw!$I:$I,Summary!G$147)</f>
        <v>0</v>
      </c>
      <c r="H148" s="28">
        <f>SUM(B148:G148)</f>
        <v>0</v>
      </c>
    </row>
    <row r="149" spans="1:17" ht="14.25" customHeight="1" x14ac:dyDescent="0.25">
      <c r="A149" s="36" t="s">
        <v>4</v>
      </c>
      <c r="B149" s="30">
        <f>SUMIFS(Raw!$H:$H,Raw!$F:$F,Summary!$A149,Raw!$I:$I,Summary!B$147)</f>
        <v>24129.909999999996</v>
      </c>
      <c r="C149" s="30">
        <f>SUMIFS(Raw!$H:$H,Raw!$F:$F,Summary!$A149,Raw!$I:$I,Summary!C$147)</f>
        <v>95253.23</v>
      </c>
      <c r="D149" s="30">
        <f>SUMIFS(Raw!$H:$H,Raw!$F:$F,Summary!$A149,Raw!$I:$I,Summary!D$147)</f>
        <v>173799.31000000003</v>
      </c>
      <c r="E149" s="30">
        <f>SUMIFS(Raw!$H:$H,Raw!$F:$F,Summary!$A149,Raw!$I:$I,Summary!E$147)</f>
        <v>201793.18</v>
      </c>
      <c r="F149" s="30">
        <f>SUMIFS(Raw!$H:$H,Raw!$F:$F,Summary!$A149,Raw!$I:$I,Summary!F$147)</f>
        <v>236104.43000000005</v>
      </c>
      <c r="G149" s="30">
        <f>SUMIFS(Raw!$H:$H,Raw!$F:$F,Summary!$A149,Raw!$I:$I,Summary!G$147)</f>
        <v>0</v>
      </c>
      <c r="H149" s="28">
        <f>SUM(B149:G149)</f>
        <v>731080.06</v>
      </c>
    </row>
    <row r="150" spans="1:17" ht="14.25" customHeight="1" x14ac:dyDescent="0.25">
      <c r="A150" s="36" t="s">
        <v>638</v>
      </c>
      <c r="B150" s="30">
        <f>SUMIFS(Raw!$H:$H,Raw!$F:$F,Summary!$A150,Raw!$I:$I,Summary!B$147)</f>
        <v>6344.43</v>
      </c>
      <c r="C150" s="30">
        <f>SUMIFS(Raw!$H:$H,Raw!$F:$F,Summary!$A150,Raw!$I:$I,Summary!C$147)</f>
        <v>25486.059999999998</v>
      </c>
      <c r="D150" s="30">
        <f>SUMIFS(Raw!$H:$H,Raw!$F:$F,Summary!$A150,Raw!$I:$I,Summary!D$147)</f>
        <v>53662.389999999992</v>
      </c>
      <c r="E150" s="30">
        <f>SUMIFS(Raw!$H:$H,Raw!$F:$F,Summary!$A150,Raw!$I:$I,Summary!E$147)</f>
        <v>55392.37</v>
      </c>
      <c r="F150" s="30">
        <f>SUMIFS(Raw!$H:$H,Raw!$F:$F,Summary!$A150,Raw!$I:$I,Summary!F$147)</f>
        <v>53796.38</v>
      </c>
      <c r="G150" s="30">
        <f>SUMIFS(Raw!$H:$H,Raw!$F:$F,Summary!$A150,Raw!$I:$I,Summary!G$147)</f>
        <v>0</v>
      </c>
      <c r="H150" s="28">
        <f>SUM(B150:G150)</f>
        <v>194681.63</v>
      </c>
    </row>
    <row r="151" spans="1:17" ht="14.25" customHeight="1" x14ac:dyDescent="0.25">
      <c r="A151" s="36" t="s">
        <v>3</v>
      </c>
      <c r="B151" s="30">
        <f>SUMIFS(Raw!$H:$H,Raw!$F:$F,Summary!$A151,Raw!$I:$I,Summary!B$147)</f>
        <v>13899.82</v>
      </c>
      <c r="C151" s="30">
        <f>SUMIFS(Raw!$H:$H,Raw!$F:$F,Summary!$A151,Raw!$I:$I,Summary!C$147)</f>
        <v>52093.850000000006</v>
      </c>
      <c r="D151" s="30">
        <f>SUMIFS(Raw!$H:$H,Raw!$F:$F,Summary!$A151,Raw!$I:$I,Summary!D$147)</f>
        <v>79566.220000000016</v>
      </c>
      <c r="E151" s="30">
        <f>SUMIFS(Raw!$H:$H,Raw!$F:$F,Summary!$A151,Raw!$I:$I,Summary!E$147)</f>
        <v>87270.430000000022</v>
      </c>
      <c r="F151" s="30">
        <f>SUMIFS(Raw!$H:$H,Raw!$F:$F,Summary!$A151,Raw!$I:$I,Summary!F$147)</f>
        <v>167368.22000000003</v>
      </c>
      <c r="G151" s="30">
        <f>SUMIFS(Raw!$H:$H,Raw!$F:$F,Summary!$A151,Raw!$I:$I,Summary!G$147)</f>
        <v>0</v>
      </c>
      <c r="H151" s="28">
        <f>SUM(B151:G151)</f>
        <v>400198.54000000004</v>
      </c>
    </row>
    <row r="152" spans="1:17" ht="14.25" customHeight="1" x14ac:dyDescent="0.25">
      <c r="A152" s="36" t="s">
        <v>2</v>
      </c>
      <c r="B152" s="30">
        <f>SUMIFS(Raw!$H:$H,Raw!$F:$F,Summary!$A152,Raw!$I:$I,Summary!B$147)</f>
        <v>10616.070000000002</v>
      </c>
      <c r="C152" s="30">
        <f>SUMIFS(Raw!$H:$H,Raw!$F:$F,Summary!$A152,Raw!$I:$I,Summary!C$147)</f>
        <v>30324.510000000002</v>
      </c>
      <c r="D152" s="30">
        <f>SUMIFS(Raw!$H:$H,Raw!$F:$F,Summary!$A152,Raw!$I:$I,Summary!D$147)</f>
        <v>63645.300000000017</v>
      </c>
      <c r="E152" s="30">
        <f>SUMIFS(Raw!$H:$H,Raw!$F:$F,Summary!$A152,Raw!$I:$I,Summary!E$147)</f>
        <v>67891.700000000012</v>
      </c>
      <c r="F152" s="30">
        <f>SUMIFS(Raw!$H:$H,Raw!$F:$F,Summary!$A152,Raw!$I:$I,Summary!F$147)</f>
        <v>95091.190000000017</v>
      </c>
      <c r="G152" s="30">
        <f>SUMIFS(Raw!$H:$H,Raw!$F:$F,Summary!$A152,Raw!$I:$I,Summary!G$147)</f>
        <v>0</v>
      </c>
      <c r="H152" s="28">
        <f>SUM(B152:G152)</f>
        <v>267568.77</v>
      </c>
    </row>
    <row r="153" spans="1:17" ht="14.25" customHeight="1" x14ac:dyDescent="0.25">
      <c r="A153" s="24" t="s">
        <v>640</v>
      </c>
      <c r="B153" s="29">
        <f t="shared" ref="B153:H153" si="6">SUM(B148:B152)</f>
        <v>54990.229999999996</v>
      </c>
      <c r="C153" s="28">
        <f t="shared" si="6"/>
        <v>203157.65000000002</v>
      </c>
      <c r="D153" s="28">
        <f t="shared" si="6"/>
        <v>370673.22000000009</v>
      </c>
      <c r="E153" s="28">
        <f t="shared" si="6"/>
        <v>412347.68</v>
      </c>
      <c r="F153" s="28">
        <f t="shared" si="6"/>
        <v>552360.22000000009</v>
      </c>
      <c r="G153" s="28">
        <f t="shared" si="6"/>
        <v>0</v>
      </c>
      <c r="H153" s="28">
        <f t="shared" si="6"/>
        <v>1593529</v>
      </c>
    </row>
    <row r="154" spans="1:17" ht="14.25" customHeight="1" x14ac:dyDescent="0.25">
      <c r="A154" s="25"/>
      <c r="B154" s="32"/>
      <c r="C154" s="33"/>
      <c r="D154" s="33"/>
      <c r="E154" s="33"/>
      <c r="F154" s="33"/>
      <c r="G154" s="33"/>
      <c r="H154" s="33"/>
    </row>
    <row r="155" spans="1:17" ht="14.25" customHeight="1" x14ac:dyDescent="0.25">
      <c r="A155" s="25"/>
      <c r="B155" s="32"/>
      <c r="C155" s="33"/>
      <c r="D155" s="33"/>
      <c r="E155" s="33"/>
      <c r="F155" s="33"/>
      <c r="G155" s="33"/>
      <c r="H155" s="33"/>
    </row>
    <row r="156" spans="1:17" ht="14.25" customHeight="1" x14ac:dyDescent="0.25">
      <c r="A156" s="25"/>
      <c r="B156" s="32"/>
      <c r="C156" s="33"/>
      <c r="D156" s="33"/>
      <c r="E156" s="33"/>
      <c r="F156" s="33"/>
      <c r="G156" s="33"/>
      <c r="H156" s="33"/>
    </row>
    <row r="157" spans="1:17" ht="14.25" customHeight="1" x14ac:dyDescent="0.25">
      <c r="A157" s="25"/>
      <c r="B157" s="32"/>
      <c r="C157" s="33"/>
      <c r="D157" s="33"/>
      <c r="E157" s="33"/>
      <c r="F157" s="33"/>
      <c r="G157" s="33"/>
      <c r="H157" s="33"/>
    </row>
    <row r="158" spans="1:17" ht="14.25" customHeight="1" x14ac:dyDescent="0.25">
      <c r="A158" s="25"/>
      <c r="B158" s="32"/>
      <c r="C158" s="33"/>
      <c r="D158" s="33"/>
      <c r="E158" s="33"/>
      <c r="F158" s="33"/>
      <c r="G158" s="33"/>
      <c r="H158" s="33"/>
    </row>
    <row r="159" spans="1:17" ht="14.25" customHeight="1" x14ac:dyDescent="0.25">
      <c r="A159" s="25"/>
      <c r="B159" s="32"/>
      <c r="C159" s="33"/>
      <c r="D159" s="33"/>
      <c r="E159" s="33"/>
      <c r="F159" s="33"/>
      <c r="G159" s="33"/>
      <c r="H159" s="33"/>
    </row>
    <row r="160" spans="1:17" ht="14.25" customHeight="1" x14ac:dyDescent="0.25">
      <c r="A160" s="25"/>
      <c r="B160" s="32"/>
      <c r="C160" s="33"/>
      <c r="D160" s="33"/>
      <c r="E160" s="33"/>
      <c r="F160" s="33"/>
      <c r="G160" s="33"/>
      <c r="H160" s="33"/>
    </row>
    <row r="161" spans="1:8" ht="14.25" customHeight="1" x14ac:dyDescent="0.25">
      <c r="A161" s="25"/>
      <c r="B161" s="32"/>
      <c r="C161" s="33"/>
      <c r="D161" s="33"/>
      <c r="E161" s="33"/>
      <c r="F161" s="33"/>
      <c r="G161" s="33"/>
      <c r="H161" s="33"/>
    </row>
    <row r="162" spans="1:8" ht="14.25" customHeight="1" x14ac:dyDescent="0.25">
      <c r="A162" s="25"/>
      <c r="B162" s="32"/>
      <c r="C162" s="33"/>
      <c r="D162" s="33"/>
      <c r="E162" s="33"/>
      <c r="F162" s="33"/>
      <c r="G162" s="33"/>
      <c r="H162" s="33"/>
    </row>
    <row r="163" spans="1:8" ht="14.25" customHeight="1" x14ac:dyDescent="0.25">
      <c r="A163" s="25"/>
      <c r="B163" s="32"/>
      <c r="C163" s="33"/>
      <c r="D163" s="33"/>
      <c r="E163" s="33"/>
      <c r="F163" s="33"/>
      <c r="G163" s="33"/>
      <c r="H163" s="33"/>
    </row>
    <row r="164" spans="1:8" ht="14.25" customHeight="1" x14ac:dyDescent="0.25">
      <c r="A164" s="25"/>
      <c r="B164" s="32"/>
      <c r="C164" s="33"/>
      <c r="D164" s="33"/>
      <c r="E164" s="33"/>
      <c r="F164" s="33"/>
      <c r="G164" s="33"/>
      <c r="H164" s="33"/>
    </row>
    <row r="165" spans="1:8" ht="14.25" customHeight="1" x14ac:dyDescent="0.25">
      <c r="A165" s="25"/>
      <c r="B165" s="32"/>
      <c r="C165" s="33"/>
      <c r="D165" s="33"/>
      <c r="E165" s="33"/>
      <c r="F165" s="33"/>
      <c r="G165" s="33"/>
      <c r="H165" s="33"/>
    </row>
    <row r="166" spans="1:8" ht="14.25" customHeight="1" x14ac:dyDescent="0.25">
      <c r="A166" s="25"/>
      <c r="B166" s="32"/>
      <c r="C166" s="33"/>
      <c r="D166" s="33"/>
      <c r="E166" s="33"/>
      <c r="F166" s="33"/>
      <c r="G166" s="33"/>
      <c r="H166" s="33"/>
    </row>
    <row r="167" spans="1:8" ht="14.25" customHeight="1" x14ac:dyDescent="0.25">
      <c r="A167" s="7"/>
      <c r="B167" s="7"/>
    </row>
    <row r="168" spans="1:8" ht="14.25" customHeight="1" x14ac:dyDescent="0.25">
      <c r="A168" s="7"/>
      <c r="B168" s="7"/>
    </row>
    <row r="169" spans="1:8" ht="14.25" customHeight="1" x14ac:dyDescent="0.25"/>
    <row r="170" spans="1:8" ht="14.25" customHeight="1" x14ac:dyDescent="0.25"/>
    <row r="171" spans="1:8" ht="14.25" customHeight="1" x14ac:dyDescent="0.25"/>
    <row r="172" spans="1:8" ht="14.25" customHeight="1" x14ac:dyDescent="0.25"/>
    <row r="173" spans="1:8" ht="14.25" customHeight="1" x14ac:dyDescent="0.25"/>
    <row r="174" spans="1:8" ht="14.25" customHeight="1" x14ac:dyDescent="0.25"/>
    <row r="175" spans="1:8" ht="14.25" customHeight="1" x14ac:dyDescent="0.25"/>
    <row r="176" spans="1:8" ht="14.25" customHeight="1" x14ac:dyDescent="0.25"/>
    <row r="177" spans="1:17" ht="14.25" customHeight="1" x14ac:dyDescent="0.25"/>
    <row r="178" spans="1:17" ht="14.25" customHeight="1" x14ac:dyDescent="0.25"/>
    <row r="179" spans="1:17" ht="14.25" customHeight="1" x14ac:dyDescent="0.25"/>
    <row r="180" spans="1:17" ht="14.25" customHeight="1" x14ac:dyDescent="0.25">
      <c r="A180" s="7"/>
      <c r="B180" s="7"/>
    </row>
    <row r="181" spans="1:17" ht="14.25" customHeight="1" x14ac:dyDescent="0.25">
      <c r="A181" s="8"/>
      <c r="B181" s="8"/>
    </row>
    <row r="182" spans="1:17" ht="14.25" customHeight="1" x14ac:dyDescent="0.25">
      <c r="A182" s="8"/>
      <c r="B182" s="8"/>
    </row>
    <row r="183" spans="1:17" ht="14.25" customHeight="1" thickBo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4.25" customHeight="1" x14ac:dyDescent="0.25">
      <c r="A184" s="7"/>
      <c r="B184" s="7"/>
    </row>
    <row r="185" spans="1:17" ht="14.25" customHeight="1" x14ac:dyDescent="0.25">
      <c r="A185" s="35" t="s">
        <v>645</v>
      </c>
      <c r="B185" s="36" t="s">
        <v>642</v>
      </c>
      <c r="C185" s="36" t="s">
        <v>8</v>
      </c>
      <c r="D185" s="36" t="s">
        <v>9</v>
      </c>
      <c r="E185" s="36" t="s">
        <v>10</v>
      </c>
      <c r="F185" s="36" t="s">
        <v>11</v>
      </c>
      <c r="G185" s="37" t="s">
        <v>643</v>
      </c>
      <c r="H185" s="26" t="s">
        <v>640</v>
      </c>
    </row>
    <row r="186" spans="1:17" ht="14.25" customHeight="1" x14ac:dyDescent="0.25">
      <c r="A186" s="36" t="s">
        <v>642</v>
      </c>
      <c r="B186" s="30">
        <f>SUMIFS(Raw!$H:$H,Raw!$I:$I,Summary!$A186,Raw!$K:$K,Summary!B$185)</f>
        <v>6734.0000000000009</v>
      </c>
      <c r="C186" s="30">
        <f>SUMIFS(Raw!$H:$H,Raw!$I:$I,Summary!$A186,Raw!$K:$K,Summary!C$185)</f>
        <v>11886.460000000003</v>
      </c>
      <c r="D186" s="30">
        <f>SUMIFS(Raw!$H:$H,Raw!$I:$I,Summary!$A186,Raw!$K:$K,Summary!D$185)</f>
        <v>13018.820000000002</v>
      </c>
      <c r="E186" s="30">
        <f>SUMIFS(Raw!$H:$H,Raw!$I:$I,Summary!$A186,Raw!$K:$K,Summary!E$185)</f>
        <v>13678.169999999998</v>
      </c>
      <c r="F186" s="30">
        <f>SUMIFS(Raw!$H:$H,Raw!$I:$I,Summary!$A186,Raw!$K:$K,Summary!F$185)</f>
        <v>9672.7799999999988</v>
      </c>
      <c r="G186" s="30">
        <f>SUMIFS(Raw!$H:$H,Raw!$I:$I,Summary!$A186,Raw!$K:$K,Summary!G$185)</f>
        <v>0</v>
      </c>
      <c r="H186" s="28">
        <f t="shared" ref="H186:H191" si="7">SUM(B186:G186)</f>
        <v>54990.23</v>
      </c>
    </row>
    <row r="187" spans="1:17" ht="14.25" customHeight="1" x14ac:dyDescent="0.25">
      <c r="A187" s="36" t="s">
        <v>8</v>
      </c>
      <c r="B187" s="30">
        <f>SUMIFS(Raw!$H:$H,Raw!$I:$I,Summary!$A187,Raw!$K:$K,Summary!B$185)</f>
        <v>38249.020000000004</v>
      </c>
      <c r="C187" s="30">
        <f>SUMIFS(Raw!$H:$H,Raw!$I:$I,Summary!$A187,Raw!$K:$K,Summary!C$185)</f>
        <v>35366.019999999997</v>
      </c>
      <c r="D187" s="30">
        <f>SUMIFS(Raw!$H:$H,Raw!$I:$I,Summary!$A187,Raw!$K:$K,Summary!D$185)</f>
        <v>43707.17</v>
      </c>
      <c r="E187" s="30">
        <f>SUMIFS(Raw!$H:$H,Raw!$I:$I,Summary!$A187,Raw!$K:$K,Summary!E$185)</f>
        <v>41838.210000000006</v>
      </c>
      <c r="F187" s="30">
        <f>SUMIFS(Raw!$H:$H,Raw!$I:$I,Summary!$A187,Raw!$K:$K,Summary!F$185)</f>
        <v>43997.229999999996</v>
      </c>
      <c r="G187" s="30">
        <f>SUMIFS(Raw!$H:$H,Raw!$I:$I,Summary!$A187,Raw!$K:$K,Summary!G$185)</f>
        <v>0</v>
      </c>
      <c r="H187" s="28">
        <f t="shared" si="7"/>
        <v>203157.65000000002</v>
      </c>
    </row>
    <row r="188" spans="1:17" ht="14.25" customHeight="1" x14ac:dyDescent="0.25">
      <c r="A188" s="36" t="s">
        <v>9</v>
      </c>
      <c r="B188" s="30">
        <f>SUMIFS(Raw!$H:$H,Raw!$I:$I,Summary!$A188,Raw!$K:$K,Summary!B$185)</f>
        <v>54552.460000000014</v>
      </c>
      <c r="C188" s="30">
        <f>SUMIFS(Raw!$H:$H,Raw!$I:$I,Summary!$A188,Raw!$K:$K,Summary!C$185)</f>
        <v>117863.49999999997</v>
      </c>
      <c r="D188" s="30">
        <f>SUMIFS(Raw!$H:$H,Raw!$I:$I,Summary!$A188,Raw!$K:$K,Summary!D$185)</f>
        <v>76910.37</v>
      </c>
      <c r="E188" s="30">
        <f>SUMIFS(Raw!$H:$H,Raw!$I:$I,Summary!$A188,Raw!$K:$K,Summary!E$185)</f>
        <v>55335.01999999999</v>
      </c>
      <c r="F188" s="30">
        <f>SUMIFS(Raw!$H:$H,Raw!$I:$I,Summary!$A188,Raw!$K:$K,Summary!F$185)</f>
        <v>66011.87000000001</v>
      </c>
      <c r="G188" s="30">
        <f>SUMIFS(Raw!$H:$H,Raw!$I:$I,Summary!$A188,Raw!$K:$K,Summary!G$185)</f>
        <v>0</v>
      </c>
      <c r="H188" s="28">
        <f t="shared" si="7"/>
        <v>370673.22</v>
      </c>
    </row>
    <row r="189" spans="1:17" ht="14.25" customHeight="1" x14ac:dyDescent="0.25">
      <c r="A189" s="36" t="s">
        <v>10</v>
      </c>
      <c r="B189" s="30">
        <f>SUMIFS(Raw!$H:$H,Raw!$I:$I,Summary!$A189,Raw!$K:$K,Summary!B$185)</f>
        <v>65325.89</v>
      </c>
      <c r="C189" s="30">
        <f>SUMIFS(Raw!$H:$H,Raw!$I:$I,Summary!$A189,Raw!$K:$K,Summary!C$185)</f>
        <v>88639.95</v>
      </c>
      <c r="D189" s="30">
        <f>SUMIFS(Raw!$H:$H,Raw!$I:$I,Summary!$A189,Raw!$K:$K,Summary!D$185)</f>
        <v>75037.859999999986</v>
      </c>
      <c r="E189" s="30">
        <f>SUMIFS(Raw!$H:$H,Raw!$I:$I,Summary!$A189,Raw!$K:$K,Summary!E$185)</f>
        <v>96304.11</v>
      </c>
      <c r="F189" s="30">
        <f>SUMIFS(Raw!$H:$H,Raw!$I:$I,Summary!$A189,Raw!$K:$K,Summary!F$185)</f>
        <v>87039.870000000024</v>
      </c>
      <c r="G189" s="30">
        <f>SUMIFS(Raw!$H:$H,Raw!$I:$I,Summary!$A189,Raw!$K:$K,Summary!G$185)</f>
        <v>0</v>
      </c>
      <c r="H189" s="28">
        <f t="shared" si="7"/>
        <v>412347.68000000005</v>
      </c>
    </row>
    <row r="190" spans="1:17" ht="14.25" customHeight="1" x14ac:dyDescent="0.25">
      <c r="A190" s="36" t="s">
        <v>11</v>
      </c>
      <c r="B190" s="30">
        <f>SUMIFS(Raw!$H:$H,Raw!$I:$I,Summary!$A190,Raw!$K:$K,Summary!B$185)</f>
        <v>71047.75</v>
      </c>
      <c r="C190" s="30">
        <f>SUMIFS(Raw!$H:$H,Raw!$I:$I,Summary!$A190,Raw!$K:$K,Summary!C$185)</f>
        <v>84691.89</v>
      </c>
      <c r="D190" s="30">
        <f>SUMIFS(Raw!$H:$H,Raw!$I:$I,Summary!$A190,Raw!$K:$K,Summary!D$185)</f>
        <v>77493.63</v>
      </c>
      <c r="E190" s="30">
        <f>SUMIFS(Raw!$H:$H,Raw!$I:$I,Summary!$A190,Raw!$K:$K,Summary!E$185)</f>
        <v>134973.35</v>
      </c>
      <c r="F190" s="30">
        <f>SUMIFS(Raw!$H:$H,Raw!$I:$I,Summary!$A190,Raw!$K:$K,Summary!F$185)</f>
        <v>184153.60000000001</v>
      </c>
      <c r="G190" s="30">
        <f>SUMIFS(Raw!$H:$H,Raw!$I:$I,Summary!$A190,Raw!$K:$K,Summary!G$185)</f>
        <v>0</v>
      </c>
      <c r="H190" s="28">
        <f t="shared" si="7"/>
        <v>552360.22</v>
      </c>
    </row>
    <row r="191" spans="1:17" ht="14.25" customHeight="1" x14ac:dyDescent="0.25">
      <c r="A191" s="37" t="s">
        <v>643</v>
      </c>
      <c r="B191" s="30">
        <f>SUMIFS(Raw!$H:$H,Raw!$I:$I,Summary!$A191,Raw!$K:$K,Summary!B$185)</f>
        <v>0</v>
      </c>
      <c r="C191" s="30">
        <f>SUMIFS(Raw!$H:$H,Raw!$I:$I,Summary!$A191,Raw!$K:$K,Summary!C$185)</f>
        <v>0</v>
      </c>
      <c r="D191" s="30">
        <f>SUMIFS(Raw!$H:$H,Raw!$I:$I,Summary!$A191,Raw!$K:$K,Summary!D$185)</f>
        <v>0</v>
      </c>
      <c r="E191" s="30">
        <f>SUMIFS(Raw!$H:$H,Raw!$I:$I,Summary!$A191,Raw!$K:$K,Summary!E$185)</f>
        <v>0</v>
      </c>
      <c r="F191" s="30">
        <f>SUMIFS(Raw!$H:$H,Raw!$I:$I,Summary!$A191,Raw!$K:$K,Summary!F$185)</f>
        <v>0</v>
      </c>
      <c r="G191" s="30">
        <f>SUMIFS(Raw!$H:$H,Raw!$I:$I,Summary!$A191,Raw!$K:$K,Summary!G$185)</f>
        <v>0</v>
      </c>
      <c r="H191" s="28">
        <f t="shared" si="7"/>
        <v>0</v>
      </c>
    </row>
    <row r="192" spans="1:17" ht="14.25" customHeight="1" x14ac:dyDescent="0.25">
      <c r="A192" s="24" t="s">
        <v>640</v>
      </c>
      <c r="B192" s="29">
        <f t="shared" ref="B192:H192" si="8">SUM(B186:B191)</f>
        <v>235909.12</v>
      </c>
      <c r="C192" s="28">
        <f t="shared" si="8"/>
        <v>338447.82</v>
      </c>
      <c r="D192" s="28">
        <f t="shared" si="8"/>
        <v>286167.84999999998</v>
      </c>
      <c r="E192" s="28">
        <f t="shared" si="8"/>
        <v>342128.86</v>
      </c>
      <c r="F192" s="28">
        <f t="shared" si="8"/>
        <v>390875.35000000003</v>
      </c>
      <c r="G192" s="28">
        <f t="shared" si="8"/>
        <v>0</v>
      </c>
      <c r="H192" s="28">
        <f t="shared" si="8"/>
        <v>1593529</v>
      </c>
    </row>
    <row r="193" spans="1:2" ht="14.25" customHeight="1" x14ac:dyDescent="0.25">
      <c r="A193" s="7"/>
      <c r="B193" s="7"/>
    </row>
    <row r="194" spans="1:2" ht="14.25" customHeight="1" x14ac:dyDescent="0.25">
      <c r="A194" s="7"/>
      <c r="B194" s="7"/>
    </row>
    <row r="195" spans="1:2" ht="14.25" customHeight="1" x14ac:dyDescent="0.25">
      <c r="A195" s="7"/>
      <c r="B195" s="7"/>
    </row>
    <row r="196" spans="1:2" ht="14.25" customHeight="1" x14ac:dyDescent="0.25">
      <c r="A196" s="7"/>
      <c r="B196" s="7"/>
    </row>
    <row r="197" spans="1:2" ht="14.25" customHeight="1" x14ac:dyDescent="0.25">
      <c r="A197" s="7"/>
      <c r="B197" s="7"/>
    </row>
    <row r="198" spans="1:2" ht="14.25" customHeight="1" x14ac:dyDescent="0.25">
      <c r="A198" s="7"/>
      <c r="B198" s="7"/>
    </row>
    <row r="199" spans="1:2" ht="14.25" customHeight="1" x14ac:dyDescent="0.25">
      <c r="A199" s="7"/>
      <c r="B199" s="7"/>
    </row>
    <row r="200" spans="1:2" ht="14.25" customHeight="1" x14ac:dyDescent="0.25">
      <c r="A200" s="7"/>
      <c r="B200" s="7"/>
    </row>
    <row r="201" spans="1:2" ht="14.25" customHeight="1" x14ac:dyDescent="0.25">
      <c r="A201" s="7"/>
      <c r="B201" s="7"/>
    </row>
    <row r="202" spans="1:2" ht="14.25" customHeight="1" x14ac:dyDescent="0.25">
      <c r="A202" s="7"/>
      <c r="B202" s="7"/>
    </row>
    <row r="203" spans="1:2" ht="14.25" customHeight="1" x14ac:dyDescent="0.25">
      <c r="A203" s="7"/>
      <c r="B203" s="7"/>
    </row>
    <row r="204" spans="1:2" ht="14.25" customHeight="1" x14ac:dyDescent="0.25">
      <c r="A204" s="7"/>
      <c r="B204" s="7"/>
    </row>
    <row r="205" spans="1:2" ht="14.25" customHeight="1" x14ac:dyDescent="0.25">
      <c r="A205" s="7"/>
      <c r="B205" s="7"/>
    </row>
    <row r="206" spans="1:2" ht="14.25" customHeight="1" x14ac:dyDescent="0.25">
      <c r="A206" s="7"/>
      <c r="B206" s="7"/>
    </row>
    <row r="207" spans="1:2" ht="14.25" customHeight="1" x14ac:dyDescent="0.25"/>
    <row r="208" spans="1:2" ht="14.25" customHeight="1" x14ac:dyDescent="0.25"/>
    <row r="209" spans="1:17" ht="14.25" customHeight="1" x14ac:dyDescent="0.25"/>
    <row r="210" spans="1:17" ht="14.25" customHeight="1" x14ac:dyDescent="0.25"/>
    <row r="211" spans="1:17" ht="14.25" customHeight="1" x14ac:dyDescent="0.25"/>
    <row r="212" spans="1:17" ht="14.25" customHeight="1" x14ac:dyDescent="0.25"/>
    <row r="213" spans="1:17" ht="14.25" customHeight="1" x14ac:dyDescent="0.25"/>
    <row r="214" spans="1:17" ht="14.25" customHeight="1" x14ac:dyDescent="0.25"/>
    <row r="215" spans="1:17" ht="14.25" customHeight="1" x14ac:dyDescent="0.25"/>
    <row r="216" spans="1:17" ht="14.25" customHeight="1" x14ac:dyDescent="0.25"/>
    <row r="217" spans="1:17" ht="14.25" customHeight="1" x14ac:dyDescent="0.25"/>
    <row r="218" spans="1:17" ht="14.25" customHeight="1" x14ac:dyDescent="0.25">
      <c r="A218" s="7"/>
      <c r="B218" s="7"/>
    </row>
    <row r="219" spans="1:17" ht="14.25" customHeight="1" x14ac:dyDescent="0.25">
      <c r="A219" s="7"/>
      <c r="B219" s="7"/>
    </row>
    <row r="220" spans="1:17" ht="14.25" customHeight="1" x14ac:dyDescent="0.25">
      <c r="A220" s="8"/>
      <c r="B220" s="8"/>
    </row>
    <row r="221" spans="1:17" ht="14.25" customHeight="1" x14ac:dyDescent="0.25">
      <c r="A221" s="8"/>
      <c r="B221" s="8"/>
    </row>
    <row r="222" spans="1:17" ht="14.25" customHeight="1" thickBo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4.25" customHeight="1" x14ac:dyDescent="0.25">
      <c r="A223" s="8"/>
      <c r="B223" s="8"/>
    </row>
    <row r="224" spans="1:17" ht="14.25" customHeight="1" x14ac:dyDescent="0.25">
      <c r="A224" s="8"/>
      <c r="B224" s="8"/>
    </row>
    <row r="225" spans="1:2" ht="14.25" customHeight="1" x14ac:dyDescent="0.25">
      <c r="A225" s="8"/>
      <c r="B225" s="8"/>
    </row>
    <row r="226" spans="1:2" ht="14.25" customHeight="1" x14ac:dyDescent="0.25">
      <c r="A226" s="8"/>
      <c r="B226" s="8"/>
    </row>
    <row r="227" spans="1:2" ht="14.25" customHeight="1" x14ac:dyDescent="0.25">
      <c r="A227" s="8"/>
      <c r="B227" s="8"/>
    </row>
    <row r="228" spans="1:2" ht="14.25" customHeight="1" x14ac:dyDescent="0.25">
      <c r="A228" s="8"/>
      <c r="B228" s="8"/>
    </row>
    <row r="229" spans="1:2" ht="14.25" customHeight="1" x14ac:dyDescent="0.25">
      <c r="A229" s="8"/>
      <c r="B229" s="8"/>
    </row>
    <row r="230" spans="1:2" ht="14.25" customHeight="1" x14ac:dyDescent="0.25">
      <c r="A230" s="8"/>
      <c r="B230" s="8"/>
    </row>
    <row r="231" spans="1:2" ht="14.25" customHeight="1" x14ac:dyDescent="0.25">
      <c r="A231" s="8"/>
      <c r="B231" s="8"/>
    </row>
    <row r="232" spans="1:2" ht="14.25" customHeight="1" x14ac:dyDescent="0.25">
      <c r="A232" s="8"/>
      <c r="B232" s="8"/>
    </row>
    <row r="233" spans="1:2" ht="14.25" customHeight="1" x14ac:dyDescent="0.25">
      <c r="A233" s="8"/>
      <c r="B233" s="8"/>
    </row>
    <row r="234" spans="1:2" ht="14.25" customHeight="1" x14ac:dyDescent="0.25">
      <c r="A234" s="8"/>
      <c r="B234" s="8"/>
    </row>
    <row r="235" spans="1:2" ht="14.25" customHeight="1" x14ac:dyDescent="0.25">
      <c r="A235" s="8"/>
      <c r="B235" s="8"/>
    </row>
    <row r="236" spans="1:2" ht="14.25" customHeight="1" x14ac:dyDescent="0.25">
      <c r="A236" s="8"/>
      <c r="B236" s="8"/>
    </row>
    <row r="237" spans="1:2" ht="14.25" customHeight="1" x14ac:dyDescent="0.25">
      <c r="A237" s="8"/>
      <c r="B237" s="8"/>
    </row>
    <row r="238" spans="1:2" ht="14.25" customHeight="1" x14ac:dyDescent="0.25">
      <c r="A238" s="8"/>
      <c r="B238" s="8"/>
    </row>
    <row r="239" spans="1:2" ht="14.25" customHeight="1" x14ac:dyDescent="0.25">
      <c r="A239" s="8"/>
      <c r="B239" s="8"/>
    </row>
    <row r="240" spans="1:2" ht="14.25" customHeight="1" x14ac:dyDescent="0.25">
      <c r="A240" s="8"/>
      <c r="B240" s="8"/>
    </row>
    <row r="241" spans="1:2" ht="14.25" customHeight="1" x14ac:dyDescent="0.25">
      <c r="A241" s="8"/>
      <c r="B241" s="8"/>
    </row>
    <row r="242" spans="1:2" ht="14.25" customHeight="1" x14ac:dyDescent="0.25">
      <c r="A242" s="8"/>
      <c r="B242" s="8"/>
    </row>
    <row r="243" spans="1:2" ht="14.25" customHeight="1" x14ac:dyDescent="0.25">
      <c r="A243" s="8"/>
      <c r="B243" s="8"/>
    </row>
    <row r="244" spans="1:2" ht="14.25" customHeight="1" x14ac:dyDescent="0.25">
      <c r="A244" s="8"/>
      <c r="B244" s="8"/>
    </row>
    <row r="245" spans="1:2" ht="14.25" customHeight="1" x14ac:dyDescent="0.25">
      <c r="A245" s="8"/>
      <c r="B245" s="8"/>
    </row>
    <row r="246" spans="1:2" ht="14.25" customHeight="1" x14ac:dyDescent="0.25">
      <c r="A246" s="8"/>
      <c r="B246" s="8"/>
    </row>
    <row r="247" spans="1:2" ht="14.25" customHeight="1" x14ac:dyDescent="0.25">
      <c r="A247" s="8"/>
      <c r="B247" s="8"/>
    </row>
    <row r="248" spans="1:2" ht="14.25" customHeight="1" x14ac:dyDescent="0.25">
      <c r="A248" s="8"/>
      <c r="B248" s="8"/>
    </row>
    <row r="249" spans="1:2" ht="14.25" customHeight="1" x14ac:dyDescent="0.25">
      <c r="A249" s="8"/>
      <c r="B249" s="8"/>
    </row>
    <row r="250" spans="1:2" ht="14.25" customHeight="1" x14ac:dyDescent="0.25"/>
    <row r="251" spans="1:2" ht="14.25" customHeight="1" x14ac:dyDescent="0.25"/>
    <row r="252" spans="1:2" ht="14.25" customHeight="1" x14ac:dyDescent="0.25"/>
    <row r="253" spans="1:2" ht="14.25" customHeight="1" x14ac:dyDescent="0.25"/>
    <row r="254" spans="1:2" ht="14.25" customHeight="1" x14ac:dyDescent="0.25"/>
    <row r="255" spans="1:2" ht="14.25" customHeight="1" x14ac:dyDescent="0.25"/>
    <row r="256" spans="1:2" ht="14.25" customHeight="1" x14ac:dyDescent="0.25"/>
    <row r="257" spans="1:17" ht="14.25" customHeight="1" x14ac:dyDescent="0.25"/>
    <row r="258" spans="1:17" ht="14.25" customHeight="1" x14ac:dyDescent="0.25"/>
    <row r="259" spans="1:17" ht="14.25" customHeight="1" x14ac:dyDescent="0.25"/>
    <row r="260" spans="1:17" ht="14.25" customHeight="1" x14ac:dyDescent="0.25"/>
    <row r="261" spans="1:17" ht="14.25" customHeight="1" x14ac:dyDescent="0.25">
      <c r="A261" s="8"/>
      <c r="B261" s="8"/>
    </row>
    <row r="262" spans="1:17" ht="14.25" customHeight="1" x14ac:dyDescent="0.25">
      <c r="A262" s="8"/>
      <c r="B262" s="8"/>
    </row>
    <row r="263" spans="1:17" ht="14.25" customHeight="1" x14ac:dyDescent="0.25">
      <c r="A263" s="8"/>
      <c r="B263" s="8"/>
    </row>
    <row r="264" spans="1:17" ht="14.25" customHeight="1" x14ac:dyDescent="0.25">
      <c r="A264" s="8"/>
      <c r="B264" s="8"/>
    </row>
    <row r="265" spans="1:17" ht="14.25" customHeight="1" x14ac:dyDescent="0.25">
      <c r="A265" s="8"/>
      <c r="B265" s="8"/>
    </row>
    <row r="266" spans="1:17" ht="14.25" customHeight="1" thickBo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4.25" customHeight="1" x14ac:dyDescent="0.25">
      <c r="A267" s="3"/>
      <c r="B267" s="3"/>
    </row>
    <row r="268" spans="1:17" ht="14.25" customHeight="1" x14ac:dyDescent="0.25">
      <c r="A268" s="3"/>
      <c r="B268" s="3"/>
    </row>
    <row r="269" spans="1:17" ht="14.25" customHeight="1" x14ac:dyDescent="0.25">
      <c r="A269" s="3"/>
      <c r="B269" s="3"/>
    </row>
    <row r="270" spans="1:17" ht="14.25" customHeight="1" x14ac:dyDescent="0.25">
      <c r="A270" s="3"/>
      <c r="B270" s="3"/>
    </row>
    <row r="271" spans="1:17" ht="14.25" customHeight="1" x14ac:dyDescent="0.25">
      <c r="A271" s="3"/>
      <c r="B271" s="3"/>
    </row>
    <row r="272" spans="1:17" ht="14.25" customHeight="1" x14ac:dyDescent="0.25">
      <c r="A272" s="3"/>
      <c r="B272" s="3"/>
    </row>
    <row r="273" spans="1:2" ht="14.25" customHeight="1" x14ac:dyDescent="0.25">
      <c r="A273" s="3"/>
      <c r="B273" s="3"/>
    </row>
    <row r="274" spans="1:2" ht="14.25" customHeight="1" x14ac:dyDescent="0.25">
      <c r="A274" s="3"/>
      <c r="B274" s="3"/>
    </row>
    <row r="275" spans="1:2" ht="14.25" customHeight="1" x14ac:dyDescent="0.25">
      <c r="A275" s="3"/>
      <c r="B275" s="3"/>
    </row>
    <row r="276" spans="1:2" ht="14.25" customHeight="1" x14ac:dyDescent="0.25">
      <c r="A276" s="3"/>
      <c r="B276" s="3"/>
    </row>
    <row r="277" spans="1:2" ht="14.25" customHeight="1" x14ac:dyDescent="0.25">
      <c r="A277" s="3"/>
      <c r="B277" s="3"/>
    </row>
    <row r="278" spans="1:2" ht="14.25" customHeight="1" x14ac:dyDescent="0.25">
      <c r="A278" s="3"/>
      <c r="B278" s="3"/>
    </row>
    <row r="279" spans="1:2" ht="14.25" customHeight="1" x14ac:dyDescent="0.25">
      <c r="A279" s="3"/>
      <c r="B279" s="3"/>
    </row>
    <row r="280" spans="1:2" ht="14.25" customHeight="1" x14ac:dyDescent="0.25">
      <c r="A280" s="3"/>
      <c r="B280" s="3"/>
    </row>
    <row r="281" spans="1:2" ht="14.25" customHeight="1" x14ac:dyDescent="0.25">
      <c r="A281" s="3"/>
      <c r="B281" s="3"/>
    </row>
    <row r="282" spans="1:2" ht="14.25" customHeight="1" x14ac:dyDescent="0.25">
      <c r="A282" s="3"/>
      <c r="B282" s="3"/>
    </row>
    <row r="283" spans="1:2" ht="14.25" customHeight="1" x14ac:dyDescent="0.25">
      <c r="A283" s="3"/>
      <c r="B283" s="3"/>
    </row>
    <row r="284" spans="1:2" ht="14.25" customHeight="1" x14ac:dyDescent="0.25">
      <c r="A284" s="3"/>
      <c r="B284" s="3"/>
    </row>
    <row r="285" spans="1:2" ht="14.25" customHeight="1" x14ac:dyDescent="0.25">
      <c r="A285" s="3"/>
      <c r="B285" s="3"/>
    </row>
    <row r="286" spans="1:2" ht="14.25" customHeight="1" x14ac:dyDescent="0.25">
      <c r="A286" s="3"/>
      <c r="B286" s="3"/>
    </row>
    <row r="287" spans="1:2" ht="14.25" customHeight="1" x14ac:dyDescent="0.25">
      <c r="A287" s="3"/>
      <c r="B287" s="3"/>
    </row>
    <row r="288" spans="1:2" ht="14.25" customHeight="1" x14ac:dyDescent="0.25">
      <c r="A288" s="3"/>
      <c r="B288" s="3"/>
    </row>
    <row r="289" spans="1:17" ht="14.25" customHeight="1" x14ac:dyDescent="0.25">
      <c r="A289" s="3"/>
      <c r="B289" s="3"/>
    </row>
    <row r="290" spans="1:17" ht="14.25" customHeight="1" x14ac:dyDescent="0.25"/>
    <row r="291" spans="1:17" ht="14.25" customHeight="1" x14ac:dyDescent="0.25"/>
    <row r="292" spans="1:17" ht="14.25" customHeight="1" x14ac:dyDescent="0.25"/>
    <row r="293" spans="1:17" ht="14.25" customHeight="1" x14ac:dyDescent="0.25"/>
    <row r="294" spans="1:17" ht="14.25" customHeight="1" x14ac:dyDescent="0.25"/>
    <row r="295" spans="1:17" ht="14.25" customHeight="1" x14ac:dyDescent="0.25"/>
    <row r="296" spans="1:17" ht="14.25" customHeight="1" x14ac:dyDescent="0.25"/>
    <row r="297" spans="1:17" ht="14.25" customHeight="1" x14ac:dyDescent="0.25"/>
    <row r="298" spans="1:17" ht="14.25" customHeight="1" x14ac:dyDescent="0.25"/>
    <row r="299" spans="1:17" ht="14.25" customHeight="1" x14ac:dyDescent="0.25"/>
    <row r="300" spans="1:17" ht="14.25" customHeight="1" x14ac:dyDescent="0.25"/>
    <row r="301" spans="1:17" ht="14.25" customHeight="1" x14ac:dyDescent="0.25">
      <c r="A301" s="8"/>
      <c r="B301" s="8"/>
    </row>
    <row r="302" spans="1:17" ht="14.25" customHeight="1" thickBo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ht="14.25" customHeight="1" x14ac:dyDescent="0.25">
      <c r="A303" s="8"/>
      <c r="B303" s="8"/>
    </row>
    <row r="304" spans="1:17" ht="14.25" customHeight="1" thickBo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9" ht="14.25" customHeight="1" x14ac:dyDescent="0.25">
      <c r="A305" s="8"/>
      <c r="B305" s="8"/>
    </row>
    <row r="306" spans="1:9" ht="14.25" customHeight="1" x14ac:dyDescent="0.25">
      <c r="A306" s="18" t="s">
        <v>646</v>
      </c>
      <c r="B306" s="38" t="s">
        <v>1</v>
      </c>
      <c r="C306" s="39" t="s">
        <v>2</v>
      </c>
      <c r="D306" s="39" t="s">
        <v>3</v>
      </c>
      <c r="E306" s="39" t="s">
        <v>4</v>
      </c>
      <c r="F306" s="39" t="s">
        <v>638</v>
      </c>
      <c r="G306" s="23" t="s">
        <v>640</v>
      </c>
    </row>
    <row r="307" spans="1:9" ht="14.25" customHeight="1" x14ac:dyDescent="0.25">
      <c r="A307" s="40" t="s">
        <v>40</v>
      </c>
      <c r="B307" s="44">
        <f>COUNTIFS(Raw!$G:$G,Summary!$A307,Raw!$F:$F,Summary!B$306,Raw!$M:$M,"menfi")</f>
        <v>0</v>
      </c>
      <c r="C307" s="44">
        <f>COUNTIFS(Raw!$G:$G,Summary!$A307,Raw!$F:$F,Summary!C$306,Raw!$M:$M,"menfi")</f>
        <v>8</v>
      </c>
      <c r="D307" s="44">
        <f>COUNTIFS(Raw!$G:$G,Summary!$A307,Raw!$F:$F,Summary!D$306,Raw!$M:$M,"menfi")</f>
        <v>5</v>
      </c>
      <c r="E307" s="44">
        <f>COUNTIFS(Raw!$G:$G,Summary!$A307,Raw!$F:$F,Summary!E$306,Raw!$M:$M,"menfi")</f>
        <v>15</v>
      </c>
      <c r="F307" s="44">
        <f>COUNTIFS(Raw!$G:$G,Summary!$A307,Raw!$F:$F,Summary!F$306,Raw!$M:$M,"menfi")</f>
        <v>7</v>
      </c>
      <c r="G307" s="26">
        <f t="shared" ref="G307:G316" si="9">SUM(B307:F307)</f>
        <v>35</v>
      </c>
    </row>
    <row r="308" spans="1:9" ht="14.25" customHeight="1" x14ac:dyDescent="0.25">
      <c r="A308" s="40" t="s">
        <v>42</v>
      </c>
      <c r="B308" s="44">
        <f>COUNTIFS(Raw!$G:$G,Summary!$A308,Raw!$F:$F,Summary!B$306,Raw!$M:$M,"menfi")</f>
        <v>0</v>
      </c>
      <c r="C308" s="44">
        <f>COUNTIFS(Raw!$G:$G,Summary!$A308,Raw!$F:$F,Summary!C$306,Raw!$M:$M,"menfi")</f>
        <v>3</v>
      </c>
      <c r="D308" s="44">
        <f>COUNTIFS(Raw!$G:$G,Summary!$A308,Raw!$F:$F,Summary!D$306,Raw!$M:$M,"menfi")</f>
        <v>11</v>
      </c>
      <c r="E308" s="44">
        <f>COUNTIFS(Raw!$G:$G,Summary!$A308,Raw!$F:$F,Summary!E$306,Raw!$M:$M,"menfi")</f>
        <v>9</v>
      </c>
      <c r="F308" s="44">
        <f>COUNTIFS(Raw!$G:$G,Summary!$A308,Raw!$F:$F,Summary!F$306,Raw!$M:$M,"menfi")</f>
        <v>6</v>
      </c>
      <c r="G308" s="26">
        <f t="shared" si="9"/>
        <v>29</v>
      </c>
    </row>
    <row r="309" spans="1:9" ht="14.25" customHeight="1" x14ac:dyDescent="0.25">
      <c r="A309" s="40" t="s">
        <v>45</v>
      </c>
      <c r="B309" s="44">
        <f>COUNTIFS(Raw!$G:$G,Summary!$A309,Raw!$F:$F,Summary!B$306,Raw!$M:$M,"menfi")</f>
        <v>0</v>
      </c>
      <c r="C309" s="44">
        <f>COUNTIFS(Raw!$G:$G,Summary!$A309,Raw!$F:$F,Summary!C$306,Raw!$M:$M,"menfi")</f>
        <v>4</v>
      </c>
      <c r="D309" s="44">
        <f>COUNTIFS(Raw!$G:$G,Summary!$A309,Raw!$F:$F,Summary!D$306,Raw!$M:$M,"menfi")</f>
        <v>7</v>
      </c>
      <c r="E309" s="44">
        <f>COUNTIFS(Raw!$G:$G,Summary!$A309,Raw!$F:$F,Summary!E$306,Raw!$M:$M,"menfi")</f>
        <v>22</v>
      </c>
      <c r="F309" s="44">
        <f>COUNTIFS(Raw!$G:$G,Summary!$A309,Raw!$F:$F,Summary!F$306,Raw!$M:$M,"menfi")</f>
        <v>2</v>
      </c>
      <c r="G309" s="26">
        <f t="shared" si="9"/>
        <v>35</v>
      </c>
    </row>
    <row r="310" spans="1:9" ht="14.25" customHeight="1" x14ac:dyDescent="0.25">
      <c r="A310" s="40" t="s">
        <v>49</v>
      </c>
      <c r="B310" s="44">
        <f>COUNTIFS(Raw!$G:$G,Summary!$A310,Raw!$F:$F,Summary!B$306,Raw!$M:$M,"menfi")</f>
        <v>0</v>
      </c>
      <c r="C310" s="44">
        <f>COUNTIFS(Raw!$G:$G,Summary!$A310,Raw!$F:$F,Summary!C$306,Raw!$M:$M,"menfi")</f>
        <v>5</v>
      </c>
      <c r="D310" s="44">
        <f>COUNTIFS(Raw!$G:$G,Summary!$A310,Raw!$F:$F,Summary!D$306,Raw!$M:$M,"menfi")</f>
        <v>11</v>
      </c>
      <c r="E310" s="44">
        <f>COUNTIFS(Raw!$G:$G,Summary!$A310,Raw!$F:$F,Summary!E$306,Raw!$M:$M,"menfi")</f>
        <v>7</v>
      </c>
      <c r="F310" s="44">
        <f>COUNTIFS(Raw!$G:$G,Summary!$A310,Raw!$F:$F,Summary!F$306,Raw!$M:$M,"menfi")</f>
        <v>4</v>
      </c>
      <c r="G310" s="26">
        <f t="shared" si="9"/>
        <v>27</v>
      </c>
    </row>
    <row r="311" spans="1:9" ht="14.25" customHeight="1" x14ac:dyDescent="0.25">
      <c r="A311" s="40" t="s">
        <v>51</v>
      </c>
      <c r="B311" s="44">
        <f>COUNTIFS(Raw!$G:$G,Summary!$A311,Raw!$F:$F,Summary!B$306,Raw!$M:$M,"menfi")</f>
        <v>0</v>
      </c>
      <c r="C311" s="44">
        <f>COUNTIFS(Raw!$G:$G,Summary!$A311,Raw!$F:$F,Summary!C$306,Raw!$M:$M,"menfi")</f>
        <v>3</v>
      </c>
      <c r="D311" s="44">
        <f>COUNTIFS(Raw!$G:$G,Summary!$A311,Raw!$F:$F,Summary!D$306,Raw!$M:$M,"menfi")</f>
        <v>5</v>
      </c>
      <c r="E311" s="44">
        <f>COUNTIFS(Raw!$G:$G,Summary!$A311,Raw!$F:$F,Summary!E$306,Raw!$M:$M,"menfi")</f>
        <v>16</v>
      </c>
      <c r="F311" s="44">
        <f>COUNTIFS(Raw!$G:$G,Summary!$A311,Raw!$F:$F,Summary!F$306,Raw!$M:$M,"menfi")</f>
        <v>2</v>
      </c>
      <c r="G311" s="26">
        <f t="shared" si="9"/>
        <v>26</v>
      </c>
    </row>
    <row r="312" spans="1:9" ht="14.25" customHeight="1" x14ac:dyDescent="0.25">
      <c r="A312" s="40" t="s">
        <v>53</v>
      </c>
      <c r="B312" s="44">
        <f>COUNTIFS(Raw!$G:$G,Summary!$A312,Raw!$F:$F,Summary!B$306,Raw!$M:$M,"menfi")</f>
        <v>0</v>
      </c>
      <c r="C312" s="44">
        <f>COUNTIFS(Raw!$G:$G,Summary!$A312,Raw!$F:$F,Summary!C$306,Raw!$M:$M,"menfi")</f>
        <v>6</v>
      </c>
      <c r="D312" s="44">
        <f>COUNTIFS(Raw!$G:$G,Summary!$A312,Raw!$F:$F,Summary!D$306,Raw!$M:$M,"menfi")</f>
        <v>3</v>
      </c>
      <c r="E312" s="44">
        <f>COUNTIFS(Raw!$G:$G,Summary!$A312,Raw!$F:$F,Summary!E$306,Raw!$M:$M,"menfi")</f>
        <v>17</v>
      </c>
      <c r="F312" s="44">
        <f>COUNTIFS(Raw!$G:$G,Summary!$A312,Raw!$F:$F,Summary!F$306,Raw!$M:$M,"menfi")</f>
        <v>4</v>
      </c>
      <c r="G312" s="26">
        <f t="shared" si="9"/>
        <v>30</v>
      </c>
    </row>
    <row r="313" spans="1:9" ht="14.25" customHeight="1" x14ac:dyDescent="0.25">
      <c r="A313" s="40" t="s">
        <v>58</v>
      </c>
      <c r="B313" s="44">
        <f>COUNTIFS(Raw!$G:$G,Summary!$A313,Raw!$F:$F,Summary!B$306,Raw!$M:$M,"menfi")</f>
        <v>0</v>
      </c>
      <c r="C313" s="44">
        <f>COUNTIFS(Raw!$G:$G,Summary!$A313,Raw!$F:$F,Summary!C$306,Raw!$M:$M,"menfi")</f>
        <v>2</v>
      </c>
      <c r="D313" s="44">
        <f>COUNTIFS(Raw!$G:$G,Summary!$A313,Raw!$F:$F,Summary!D$306,Raw!$M:$M,"menfi")</f>
        <v>6</v>
      </c>
      <c r="E313" s="44">
        <f>COUNTIFS(Raw!$G:$G,Summary!$A313,Raw!$F:$F,Summary!E$306,Raw!$M:$M,"menfi")</f>
        <v>18</v>
      </c>
      <c r="F313" s="44">
        <f>COUNTIFS(Raw!$G:$G,Summary!$A313,Raw!$F:$F,Summary!F$306,Raw!$M:$M,"menfi")</f>
        <v>6</v>
      </c>
      <c r="G313" s="26">
        <f t="shared" si="9"/>
        <v>32</v>
      </c>
    </row>
    <row r="314" spans="1:9" ht="14.25" customHeight="1" x14ac:dyDescent="0.25">
      <c r="A314" s="40" t="s">
        <v>60</v>
      </c>
      <c r="B314" s="44">
        <f>COUNTIFS(Raw!$G:$G,Summary!$A314,Raw!$F:$F,Summary!B$306,Raw!$M:$M,"menfi")</f>
        <v>0</v>
      </c>
      <c r="C314" s="44">
        <f>COUNTIFS(Raw!$G:$G,Summary!$A314,Raw!$F:$F,Summary!C$306,Raw!$M:$M,"menfi")</f>
        <v>9</v>
      </c>
      <c r="D314" s="44">
        <f>COUNTIFS(Raw!$G:$G,Summary!$A314,Raw!$F:$F,Summary!D$306,Raw!$M:$M,"menfi")</f>
        <v>8</v>
      </c>
      <c r="E314" s="44">
        <f>COUNTIFS(Raw!$G:$G,Summary!$A314,Raw!$F:$F,Summary!E$306,Raw!$M:$M,"menfi")</f>
        <v>13</v>
      </c>
      <c r="F314" s="44">
        <f>COUNTIFS(Raw!$G:$G,Summary!$A314,Raw!$F:$F,Summary!F$306,Raw!$M:$M,"menfi")</f>
        <v>4</v>
      </c>
      <c r="G314" s="26">
        <f t="shared" si="9"/>
        <v>34</v>
      </c>
      <c r="I314" s="43"/>
    </row>
    <row r="315" spans="1:9" s="43" customFormat="1" ht="14.25" customHeight="1" x14ac:dyDescent="0.25">
      <c r="A315" s="40" t="s">
        <v>63</v>
      </c>
      <c r="B315" s="44">
        <f>COUNTIFS(Raw!$G:$G,Summary!$A315,Raw!$F:$F,Summary!B$306,Raw!$M:$M,"menfi")</f>
        <v>0</v>
      </c>
      <c r="C315" s="44">
        <f>COUNTIFS(Raw!$G:$G,Summary!$A315,Raw!$F:$F,Summary!C$306,Raw!$M:$M,"menfi")</f>
        <v>5</v>
      </c>
      <c r="D315" s="44">
        <f>COUNTIFS(Raw!$G:$G,Summary!$A315,Raw!$F:$F,Summary!D$306,Raw!$M:$M,"menfi")</f>
        <v>14</v>
      </c>
      <c r="E315" s="44">
        <f>COUNTIFS(Raw!$G:$G,Summary!$A315,Raw!$F:$F,Summary!E$306,Raw!$M:$M,"menfi")</f>
        <v>14</v>
      </c>
      <c r="F315" s="44">
        <f>COUNTIFS(Raw!$G:$G,Summary!$A315,Raw!$F:$F,Summary!F$306,Raw!$M:$M,"menfi")</f>
        <v>2</v>
      </c>
      <c r="G315" s="26">
        <f t="shared" si="9"/>
        <v>35</v>
      </c>
    </row>
    <row r="316" spans="1:9" s="43" customFormat="1" ht="14.25" customHeight="1" x14ac:dyDescent="0.25">
      <c r="A316" s="40" t="s">
        <v>66</v>
      </c>
      <c r="B316" s="44">
        <f>COUNTIFS(Raw!$G:$G,Summary!$A316,Raw!$F:$F,Summary!B$306,Raw!$M:$M,"menfi")</f>
        <v>0</v>
      </c>
      <c r="C316" s="44">
        <f>COUNTIFS(Raw!$G:$G,Summary!$A316,Raw!$F:$F,Summary!C$306,Raw!$M:$M,"menfi")</f>
        <v>1</v>
      </c>
      <c r="D316" s="44">
        <f>COUNTIFS(Raw!$G:$G,Summary!$A316,Raw!$F:$F,Summary!D$306,Raw!$M:$M,"menfi")</f>
        <v>5</v>
      </c>
      <c r="E316" s="44">
        <f>COUNTIFS(Raw!$G:$G,Summary!$A316,Raw!$F:$F,Summary!E$306,Raw!$M:$M,"menfi")</f>
        <v>14</v>
      </c>
      <c r="F316" s="44">
        <f>COUNTIFS(Raw!$G:$G,Summary!$A316,Raw!$F:$F,Summary!F$306,Raw!$M:$M,"menfi")</f>
        <v>2</v>
      </c>
      <c r="G316" s="26">
        <f t="shared" si="9"/>
        <v>22</v>
      </c>
    </row>
    <row r="317" spans="1:9" s="43" customFormat="1" ht="14.25" customHeight="1" x14ac:dyDescent="0.25">
      <c r="A317" s="24" t="s">
        <v>640</v>
      </c>
      <c r="B317" s="45">
        <f t="shared" ref="B317:G317" si="10">SUM(B307:B316)</f>
        <v>0</v>
      </c>
      <c r="C317" s="26">
        <f t="shared" si="10"/>
        <v>46</v>
      </c>
      <c r="D317" s="26">
        <f t="shared" si="10"/>
        <v>75</v>
      </c>
      <c r="E317" s="26">
        <f t="shared" si="10"/>
        <v>145</v>
      </c>
      <c r="F317" s="26">
        <f t="shared" si="10"/>
        <v>39</v>
      </c>
      <c r="G317" s="46">
        <f t="shared" si="10"/>
        <v>305</v>
      </c>
    </row>
    <row r="318" spans="1:9" s="43" customFormat="1" ht="14.25" customHeight="1" x14ac:dyDescent="0.25">
      <c r="A318" s="8"/>
      <c r="B318" s="8"/>
    </row>
    <row r="319" spans="1:9" s="43" customFormat="1" ht="14.25" customHeight="1" x14ac:dyDescent="0.25">
      <c r="A319" s="8"/>
      <c r="B319" s="8"/>
    </row>
    <row r="320" spans="1:9" s="43" customFormat="1" ht="14.25" customHeight="1" x14ac:dyDescent="0.25">
      <c r="A320" s="8"/>
      <c r="B320" s="8"/>
    </row>
    <row r="321" spans="1:2" s="43" customFormat="1" ht="14.25" customHeight="1" x14ac:dyDescent="0.25">
      <c r="A321" s="8"/>
      <c r="B321" s="8"/>
    </row>
    <row r="322" spans="1:2" s="43" customFormat="1" ht="14.25" customHeight="1" x14ac:dyDescent="0.25">
      <c r="A322" s="8"/>
      <c r="B322" s="8"/>
    </row>
    <row r="323" spans="1:2" s="43" customFormat="1" ht="14.25" customHeight="1" x14ac:dyDescent="0.25">
      <c r="A323" s="8"/>
      <c r="B323" s="8"/>
    </row>
    <row r="324" spans="1:2" s="43" customFormat="1" ht="14.25" customHeight="1" x14ac:dyDescent="0.25">
      <c r="A324" s="8"/>
      <c r="B324" s="8"/>
    </row>
    <row r="325" spans="1:2" s="43" customFormat="1" ht="14.25" customHeight="1" x14ac:dyDescent="0.25">
      <c r="A325" s="8"/>
      <c r="B325" s="8"/>
    </row>
    <row r="326" spans="1:2" s="43" customFormat="1" ht="14.25" customHeight="1" x14ac:dyDescent="0.25">
      <c r="A326" s="8"/>
      <c r="B326" s="8"/>
    </row>
    <row r="327" spans="1:2" s="43" customFormat="1" ht="14.25" customHeight="1" x14ac:dyDescent="0.25">
      <c r="A327" s="8"/>
      <c r="B327" s="8"/>
    </row>
    <row r="328" spans="1:2" s="43" customFormat="1" ht="14.25" customHeight="1" x14ac:dyDescent="0.25">
      <c r="A328" s="8"/>
      <c r="B328" s="8"/>
    </row>
    <row r="329" spans="1:2" ht="14.25" customHeight="1" x14ac:dyDescent="0.25">
      <c r="A329" s="8"/>
      <c r="B329" s="8"/>
    </row>
    <row r="330" spans="1:2" ht="14.25" customHeight="1" x14ac:dyDescent="0.25">
      <c r="A330" s="8"/>
      <c r="B330" s="8"/>
    </row>
    <row r="331" spans="1:2" ht="14.25" customHeight="1" x14ac:dyDescent="0.25"/>
    <row r="332" spans="1:2" ht="14.25" customHeight="1" x14ac:dyDescent="0.25"/>
    <row r="333" spans="1:2" ht="14.25" customHeight="1" x14ac:dyDescent="0.25"/>
    <row r="334" spans="1:2" ht="14.25" customHeight="1" x14ac:dyDescent="0.25"/>
    <row r="335" spans="1:2" ht="14.25" customHeight="1" x14ac:dyDescent="0.25"/>
    <row r="336" spans="1:2" ht="14.25" customHeight="1" x14ac:dyDescent="0.25"/>
    <row r="337" spans="1:17" ht="14.25" customHeight="1" x14ac:dyDescent="0.25"/>
    <row r="338" spans="1:17" ht="14.25" customHeight="1" x14ac:dyDescent="0.25"/>
    <row r="339" spans="1:17" ht="14.25" customHeight="1" x14ac:dyDescent="0.25"/>
    <row r="340" spans="1:17" ht="14.25" customHeight="1" x14ac:dyDescent="0.25"/>
    <row r="341" spans="1:17" ht="14.25" customHeight="1" x14ac:dyDescent="0.25"/>
    <row r="342" spans="1:17" ht="14.25" customHeight="1" x14ac:dyDescent="0.25">
      <c r="A342" s="8"/>
      <c r="B342" s="8"/>
    </row>
    <row r="343" spans="1:17" ht="14.25" customHeight="1" x14ac:dyDescent="0.25">
      <c r="A343" s="8"/>
      <c r="B343" s="8"/>
    </row>
    <row r="344" spans="1:17" ht="14.25" customHeight="1" x14ac:dyDescent="0.25">
      <c r="A344" s="8"/>
      <c r="B344" s="8"/>
    </row>
    <row r="345" spans="1:17" ht="14.25" customHeight="1" x14ac:dyDescent="0.25">
      <c r="A345" s="8"/>
      <c r="B345" s="8"/>
    </row>
    <row r="346" spans="1:17" ht="14.25" customHeight="1" thickBo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ht="14.25" customHeight="1" x14ac:dyDescent="0.25">
      <c r="A347" s="8"/>
      <c r="B347" s="8"/>
    </row>
    <row r="348" spans="1:17" ht="14.25" customHeight="1" x14ac:dyDescent="0.25">
      <c r="A348" s="9" t="s">
        <v>13</v>
      </c>
      <c r="B348" s="9"/>
      <c r="C348" s="9" t="s">
        <v>14</v>
      </c>
      <c r="D348" s="9" t="s">
        <v>15</v>
      </c>
      <c r="E348" s="9" t="s">
        <v>16</v>
      </c>
    </row>
    <row r="349" spans="1:17" ht="14.25" customHeight="1" x14ac:dyDescent="0.25">
      <c r="A349" s="10" t="s">
        <v>17</v>
      </c>
      <c r="B349" s="10"/>
      <c r="C349" s="10" t="str">
        <f>VLOOKUP(A349,Raw!A:G,7,0)</f>
        <v>Qəbələ</v>
      </c>
      <c r="D349" s="10">
        <f>VLOOKUP(A349,Raw!A:E,5,0)</f>
        <v>30</v>
      </c>
      <c r="E349" s="11">
        <f>VLOOKUP(A349,Raw!A:H,8,0)</f>
        <v>4753.88</v>
      </c>
    </row>
    <row r="350" spans="1:17" ht="14.25" customHeight="1" x14ac:dyDescent="0.25">
      <c r="A350" s="12" t="s">
        <v>18</v>
      </c>
      <c r="B350" s="12"/>
      <c r="C350" s="10" t="str">
        <f>VLOOKUP(A350,Raw!A:G,7,0)</f>
        <v>Qəbələ</v>
      </c>
      <c r="D350" s="10">
        <f>VLOOKUP(A350,Raw!A:E,5,0)</f>
        <v>49</v>
      </c>
      <c r="E350" s="11">
        <f>VLOOKUP(A350,Raw!A:H,8,0)</f>
        <v>3795.96</v>
      </c>
    </row>
    <row r="351" spans="1:17" ht="14.25" customHeight="1" x14ac:dyDescent="0.25">
      <c r="A351" s="12" t="s">
        <v>19</v>
      </c>
      <c r="B351" s="12"/>
      <c r="C351" s="10" t="str">
        <f>VLOOKUP(A351,Raw!A:G,7,0)</f>
        <v>Qəbələ</v>
      </c>
      <c r="D351" s="10">
        <f>VLOOKUP(A351,Raw!A:E,5,0)</f>
        <v>51</v>
      </c>
      <c r="E351" s="11">
        <f>VLOOKUP(A351,Raw!A:H,8,0)</f>
        <v>3006.2</v>
      </c>
    </row>
    <row r="352" spans="1:17" ht="14.25" customHeight="1" x14ac:dyDescent="0.25">
      <c r="A352" s="12" t="s">
        <v>20</v>
      </c>
      <c r="B352" s="12"/>
      <c r="C352" s="10" t="str">
        <f>VLOOKUP(A352,Raw!A:G,7,0)</f>
        <v>Gəncə</v>
      </c>
      <c r="D352" s="10">
        <f>VLOOKUP(A352,Raw!A:E,5,0)</f>
        <v>45</v>
      </c>
      <c r="E352" s="11">
        <f>VLOOKUP(A352,Raw!A:H,8,0)</f>
        <v>1490.09</v>
      </c>
    </row>
    <row r="353" spans="1:17" ht="14.25" customHeight="1" x14ac:dyDescent="0.25">
      <c r="A353" s="12" t="s">
        <v>21</v>
      </c>
      <c r="B353" s="12"/>
      <c r="C353" s="10" t="str">
        <f>VLOOKUP(A353,Raw!A:G,7,0)</f>
        <v>Lənkəran</v>
      </c>
      <c r="D353" s="10">
        <f>VLOOKUP(A353,Raw!A:E,5,0)</f>
        <v>52</v>
      </c>
      <c r="E353" s="11">
        <f>VLOOKUP(A353,Raw!A:H,8,0)</f>
        <v>4109.3999999999996</v>
      </c>
    </row>
    <row r="354" spans="1:17" ht="14.25" customHeight="1" x14ac:dyDescent="0.25">
      <c r="A354" s="12" t="s">
        <v>22</v>
      </c>
      <c r="B354" s="12"/>
      <c r="C354" s="10" t="str">
        <f>VLOOKUP(A354,Raw!A:G,7,0)</f>
        <v>Dəvəçi</v>
      </c>
      <c r="D354" s="10">
        <f>VLOOKUP(A354,Raw!A:E,5,0)</f>
        <v>53</v>
      </c>
      <c r="E354" s="11">
        <f>VLOOKUP(A354,Raw!A:H,8,0)</f>
        <v>3873.7</v>
      </c>
    </row>
    <row r="355" spans="1:17" ht="14.25" customHeight="1" x14ac:dyDescent="0.25">
      <c r="A355" s="54" t="s">
        <v>23</v>
      </c>
      <c r="B355" s="55"/>
      <c r="C355" s="56"/>
      <c r="D355" s="47">
        <f>AVERAGE(D349:D354)</f>
        <v>46.666666666666664</v>
      </c>
      <c r="E355" s="48">
        <f>AVERAGE(E349:E354)</f>
        <v>3504.8716666666664</v>
      </c>
    </row>
    <row r="356" spans="1:17" ht="14.25" customHeight="1" x14ac:dyDescent="0.25"/>
    <row r="357" spans="1:17" ht="14.25" customHeight="1" x14ac:dyDescent="0.25"/>
    <row r="358" spans="1:17" ht="14.25" customHeight="1" x14ac:dyDescent="0.25"/>
    <row r="359" spans="1:17" ht="14.25" customHeight="1" x14ac:dyDescent="0.25"/>
    <row r="360" spans="1:17" ht="14.25" customHeight="1" x14ac:dyDescent="0.25"/>
    <row r="361" spans="1:17" ht="14.25" customHeight="1" thickBo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ht="14.25" customHeight="1" x14ac:dyDescent="0.25">
      <c r="A362" s="8"/>
      <c r="B362" s="8"/>
    </row>
    <row r="363" spans="1:17" ht="14.25" customHeight="1" x14ac:dyDescent="0.25">
      <c r="A363" s="9" t="s">
        <v>13</v>
      </c>
      <c r="B363" s="18" t="s">
        <v>647</v>
      </c>
      <c r="C363" s="9" t="s">
        <v>24</v>
      </c>
      <c r="D363" s="9" t="s">
        <v>25</v>
      </c>
      <c r="E363" s="9" t="s">
        <v>14</v>
      </c>
      <c r="F363" s="9" t="s">
        <v>15</v>
      </c>
      <c r="G363" s="9" t="s">
        <v>16</v>
      </c>
    </row>
    <row r="364" spans="1:17" ht="14.25" customHeight="1" x14ac:dyDescent="0.25">
      <c r="A364" s="10" t="s">
        <v>17</v>
      </c>
      <c r="B364" s="19" t="str">
        <f>_xlfn.CONCAT(A364," ",C364," ",D364)</f>
        <v>Mənsur Həsənli 28861</v>
      </c>
      <c r="C364" s="12" t="s">
        <v>26</v>
      </c>
      <c r="D364" s="14">
        <v>28861</v>
      </c>
      <c r="E364" s="10" t="str">
        <f>_xlfn.XLOOKUP(B364,Raw!N:N,Raw!G:G)</f>
        <v>Xaçmaz</v>
      </c>
      <c r="F364" s="10">
        <f>_xlfn.XLOOKUP(B364,Raw!N:N,Raw!E:E)</f>
        <v>46</v>
      </c>
      <c r="G364" s="49">
        <f>_xlfn.XLOOKUP(Summary!B364,Raw!N:N,Raw!H:H)</f>
        <v>4483.71</v>
      </c>
    </row>
    <row r="365" spans="1:17" ht="14.25" customHeight="1" x14ac:dyDescent="0.25">
      <c r="A365" s="12" t="s">
        <v>18</v>
      </c>
      <c r="B365" s="19" t="str">
        <f t="shared" ref="B365:B369" si="11">_xlfn.CONCAT(A365," ",C365," ",D365)</f>
        <v>Hicran Vurğun 25589</v>
      </c>
      <c r="C365" s="12" t="s">
        <v>27</v>
      </c>
      <c r="D365" s="14">
        <v>25589</v>
      </c>
      <c r="E365" s="10" t="str">
        <f>_xlfn.XLOOKUP(B365,Raw!N:N,Raw!G:G)</f>
        <v>Dəvəçi</v>
      </c>
      <c r="F365" s="10">
        <f>_xlfn.XLOOKUP(B365,Raw!N:N,Raw!E:E)</f>
        <v>55</v>
      </c>
      <c r="G365" s="49">
        <f>_xlfn.XLOOKUP(Summary!B365,Raw!N:N,Raw!H:H)</f>
        <v>1765.13</v>
      </c>
    </row>
    <row r="366" spans="1:17" ht="14.25" customHeight="1" x14ac:dyDescent="0.25">
      <c r="A366" s="12" t="s">
        <v>19</v>
      </c>
      <c r="B366" s="19" t="str">
        <f t="shared" si="11"/>
        <v>Sədaqət Mirzəyev 24733</v>
      </c>
      <c r="C366" s="12" t="s">
        <v>28</v>
      </c>
      <c r="D366" s="14">
        <v>24733</v>
      </c>
      <c r="E366" s="10" t="str">
        <f>_xlfn.XLOOKUP(B366,Raw!N:N,Raw!G:G)</f>
        <v>Tovuz</v>
      </c>
      <c r="F366" s="10">
        <f>_xlfn.XLOOKUP(B366,Raw!N:N,Raw!E:E)</f>
        <v>58</v>
      </c>
      <c r="G366" s="49">
        <f>_xlfn.XLOOKUP(Summary!B366,Raw!N:N,Raw!H:H)</f>
        <v>2864.08</v>
      </c>
    </row>
    <row r="367" spans="1:17" ht="14.25" customHeight="1" x14ac:dyDescent="0.25">
      <c r="A367" s="12" t="s">
        <v>20</v>
      </c>
      <c r="B367" s="19" t="str">
        <f t="shared" si="11"/>
        <v>Urfan Bayramov 23006</v>
      </c>
      <c r="C367" s="12" t="s">
        <v>29</v>
      </c>
      <c r="D367" s="14">
        <v>23006</v>
      </c>
      <c r="E367" s="10" t="str">
        <f>_xlfn.XLOOKUP(B367,Raw!N:N,Raw!G:G)</f>
        <v>Bakı</v>
      </c>
      <c r="F367" s="10">
        <f>_xlfn.XLOOKUP(B367,Raw!N:N,Raw!E:E)</f>
        <v>63</v>
      </c>
      <c r="G367" s="49">
        <f>_xlfn.XLOOKUP(Summary!B367,Raw!N:N,Raw!H:H)</f>
        <v>4590.87</v>
      </c>
    </row>
    <row r="368" spans="1:17" ht="14.25" customHeight="1" x14ac:dyDescent="0.25">
      <c r="A368" s="12" t="s">
        <v>21</v>
      </c>
      <c r="B368" s="19" t="str">
        <f t="shared" si="11"/>
        <v>Familə Bəktaşi 28280</v>
      </c>
      <c r="C368" s="12" t="s">
        <v>30</v>
      </c>
      <c r="D368" s="14">
        <v>28280</v>
      </c>
      <c r="E368" s="10" t="str">
        <f>_xlfn.XLOOKUP(B368,Raw!N:N,Raw!G:G)</f>
        <v>Quba</v>
      </c>
      <c r="F368" s="10">
        <f>_xlfn.XLOOKUP(B368,Raw!N:N,Raw!E:E)</f>
        <v>48</v>
      </c>
      <c r="G368" s="49">
        <f>_xlfn.XLOOKUP(Summary!B368,Raw!N:N,Raw!H:H)</f>
        <v>2325.31</v>
      </c>
    </row>
    <row r="369" spans="1:7" ht="14.25" customHeight="1" x14ac:dyDescent="0.25">
      <c r="A369" s="12" t="s">
        <v>22</v>
      </c>
      <c r="B369" s="19" t="str">
        <f t="shared" si="11"/>
        <v>Jalə Bayramov 33148</v>
      </c>
      <c r="C369" s="12" t="s">
        <v>29</v>
      </c>
      <c r="D369" s="14">
        <v>33148</v>
      </c>
      <c r="E369" s="10" t="str">
        <f>_xlfn.XLOOKUP(B369,Raw!N:N,Raw!G:G)</f>
        <v>Şəki</v>
      </c>
      <c r="F369" s="10">
        <f>_xlfn.XLOOKUP(B369,Raw!N:N,Raw!E:E)</f>
        <v>35</v>
      </c>
      <c r="G369" s="49">
        <f>_xlfn.XLOOKUP(Summary!B369,Raw!N:N,Raw!H:H)</f>
        <v>3349.13</v>
      </c>
    </row>
    <row r="370" spans="1:7" ht="14.25" customHeight="1" x14ac:dyDescent="0.25">
      <c r="A370" s="54" t="s">
        <v>23</v>
      </c>
      <c r="B370" s="55"/>
      <c r="C370" s="57"/>
      <c r="D370" s="57"/>
      <c r="E370" s="56"/>
      <c r="F370" s="53">
        <f>AVERAGE(F364:F369)</f>
        <v>50.833333333333336</v>
      </c>
      <c r="G370" s="50">
        <f>AVERAGE(G364:G369)</f>
        <v>3229.7049999999999</v>
      </c>
    </row>
    <row r="371" spans="1:7" ht="14.25" customHeight="1" x14ac:dyDescent="0.25"/>
    <row r="372" spans="1:7" ht="14.25" customHeight="1" x14ac:dyDescent="0.25"/>
    <row r="376" spans="1:7" ht="14.25" customHeight="1" x14ac:dyDescent="0.25"/>
    <row r="377" spans="1:7" ht="14.25" customHeight="1" x14ac:dyDescent="0.25"/>
    <row r="378" spans="1:7" ht="14.25" customHeight="1" x14ac:dyDescent="0.25"/>
    <row r="379" spans="1:7" ht="14.25" customHeight="1" x14ac:dyDescent="0.25"/>
    <row r="380" spans="1:7" ht="14.25" customHeight="1" x14ac:dyDescent="0.25"/>
    <row r="381" spans="1:7" ht="14.25" customHeight="1" x14ac:dyDescent="0.25"/>
    <row r="382" spans="1:7" ht="14.25" customHeight="1" x14ac:dyDescent="0.25"/>
    <row r="383" spans="1:7" ht="14.25" customHeight="1" x14ac:dyDescent="0.25"/>
    <row r="384" spans="1:7" ht="14.25" customHeight="1" x14ac:dyDescent="0.25"/>
    <row r="385" spans="10:10" ht="14.25" customHeight="1" x14ac:dyDescent="0.25"/>
    <row r="386" spans="10:10" ht="14.25" customHeight="1" x14ac:dyDescent="0.25"/>
    <row r="387" spans="10:10" ht="14.25" customHeight="1" x14ac:dyDescent="0.25"/>
    <row r="388" spans="10:10" ht="14.25" customHeight="1" x14ac:dyDescent="0.25"/>
    <row r="389" spans="10:10" ht="14.25" customHeight="1" x14ac:dyDescent="0.25"/>
    <row r="390" spans="10:10" ht="14.25" customHeight="1" x14ac:dyDescent="0.25"/>
    <row r="391" spans="10:10" ht="14.25" customHeight="1" x14ac:dyDescent="0.25"/>
    <row r="392" spans="10:10" ht="14.25" customHeight="1" x14ac:dyDescent="0.25"/>
    <row r="393" spans="10:10" ht="14.25" customHeight="1" x14ac:dyDescent="0.25"/>
    <row r="394" spans="10:10" ht="14.25" customHeight="1" x14ac:dyDescent="0.25"/>
    <row r="395" spans="10:10" ht="14.25" customHeight="1" x14ac:dyDescent="0.25"/>
    <row r="396" spans="10:10" ht="14.25" customHeight="1" x14ac:dyDescent="0.25"/>
    <row r="397" spans="10:10" ht="14.25" customHeight="1" x14ac:dyDescent="0.25">
      <c r="J397">
        <v>1</v>
      </c>
    </row>
    <row r="398" spans="10:10" ht="14.25" customHeight="1" x14ac:dyDescent="0.25"/>
    <row r="399" spans="10:10" ht="14.25" customHeight="1" x14ac:dyDescent="0.25"/>
    <row r="400" spans="10:1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  <row r="1072" ht="14.25" customHeight="1" x14ac:dyDescent="0.25"/>
    <row r="1073" ht="14.25" customHeight="1" x14ac:dyDescent="0.25"/>
    <row r="1074" ht="14.25" customHeight="1" x14ac:dyDescent="0.25"/>
    <row r="1075" ht="14.25" customHeight="1" x14ac:dyDescent="0.25"/>
    <row r="1076" ht="14.25" customHeight="1" x14ac:dyDescent="0.25"/>
    <row r="1077" ht="14.25" customHeight="1" x14ac:dyDescent="0.25"/>
    <row r="1078" ht="14.25" customHeight="1" x14ac:dyDescent="0.25"/>
    <row r="1079" ht="14.25" customHeight="1" x14ac:dyDescent="0.25"/>
    <row r="1080" ht="14.25" customHeight="1" x14ac:dyDescent="0.25"/>
    <row r="1081" ht="14.25" customHeight="1" x14ac:dyDescent="0.25"/>
    <row r="1082" ht="14.25" customHeight="1" x14ac:dyDescent="0.25"/>
    <row r="1083" ht="14.25" customHeight="1" x14ac:dyDescent="0.25"/>
    <row r="1084" ht="14.25" customHeight="1" x14ac:dyDescent="0.25"/>
    <row r="1085" ht="14.25" customHeight="1" x14ac:dyDescent="0.25"/>
    <row r="1086" ht="14.25" customHeight="1" x14ac:dyDescent="0.25"/>
    <row r="1087" ht="14.25" customHeight="1" x14ac:dyDescent="0.25"/>
    <row r="1088" ht="14.25" customHeight="1" x14ac:dyDescent="0.25"/>
    <row r="1089" ht="14.25" customHeight="1" x14ac:dyDescent="0.25"/>
    <row r="1090" ht="14.25" customHeight="1" x14ac:dyDescent="0.25"/>
    <row r="1091" ht="14.25" customHeight="1" x14ac:dyDescent="0.25"/>
    <row r="1092" ht="14.25" customHeight="1" x14ac:dyDescent="0.25"/>
    <row r="1093" ht="14.25" customHeight="1" x14ac:dyDescent="0.25"/>
    <row r="1094" ht="14.25" customHeight="1" x14ac:dyDescent="0.25"/>
    <row r="1095" ht="14.25" customHeight="1" x14ac:dyDescent="0.25"/>
    <row r="1096" ht="14.25" customHeight="1" x14ac:dyDescent="0.25"/>
    <row r="1097" ht="14.25" customHeight="1" x14ac:dyDescent="0.25"/>
    <row r="1098" ht="14.25" customHeight="1" x14ac:dyDescent="0.25"/>
    <row r="1099" ht="14.25" customHeight="1" x14ac:dyDescent="0.25"/>
    <row r="1100" ht="14.25" customHeight="1" x14ac:dyDescent="0.25"/>
    <row r="1101" ht="14.25" customHeight="1" x14ac:dyDescent="0.25"/>
    <row r="1102" ht="14.25" customHeight="1" x14ac:dyDescent="0.25"/>
    <row r="1103" ht="14.25" customHeight="1" x14ac:dyDescent="0.25"/>
    <row r="1104" ht="14.25" customHeight="1" x14ac:dyDescent="0.25"/>
    <row r="1105" ht="14.25" customHeight="1" x14ac:dyDescent="0.25"/>
    <row r="1106" ht="14.25" customHeight="1" x14ac:dyDescent="0.25"/>
    <row r="1107" ht="14.25" customHeight="1" x14ac:dyDescent="0.25"/>
    <row r="1108" ht="14.25" customHeight="1" x14ac:dyDescent="0.25"/>
    <row r="1109" ht="14.25" customHeight="1" x14ac:dyDescent="0.25"/>
    <row r="1110" ht="14.25" customHeight="1" x14ac:dyDescent="0.25"/>
    <row r="1111" ht="14.25" customHeight="1" x14ac:dyDescent="0.25"/>
    <row r="1112" ht="14.25" customHeight="1" x14ac:dyDescent="0.25"/>
    <row r="1113" ht="14.25" customHeight="1" x14ac:dyDescent="0.25"/>
    <row r="1114" ht="14.25" customHeight="1" x14ac:dyDescent="0.25"/>
    <row r="1115" ht="14.25" customHeight="1" x14ac:dyDescent="0.25"/>
    <row r="1116" ht="14.25" customHeight="1" x14ac:dyDescent="0.25"/>
    <row r="1117" ht="14.25" customHeight="1" x14ac:dyDescent="0.25"/>
    <row r="1118" ht="14.25" customHeight="1" x14ac:dyDescent="0.25"/>
    <row r="1119" ht="14.25" customHeight="1" x14ac:dyDescent="0.25"/>
    <row r="1120" ht="14.25" customHeight="1" x14ac:dyDescent="0.25"/>
    <row r="1121" ht="14.25" customHeight="1" x14ac:dyDescent="0.25"/>
    <row r="1122" ht="14.25" customHeight="1" x14ac:dyDescent="0.25"/>
    <row r="1123" ht="14.25" customHeight="1" x14ac:dyDescent="0.25"/>
    <row r="1124" ht="14.25" customHeight="1" x14ac:dyDescent="0.25"/>
    <row r="1125" ht="14.25" customHeight="1" x14ac:dyDescent="0.25"/>
    <row r="1126" ht="14.25" customHeight="1" x14ac:dyDescent="0.25"/>
    <row r="1127" ht="14.25" customHeight="1" x14ac:dyDescent="0.25"/>
    <row r="1128" ht="14.25" customHeight="1" x14ac:dyDescent="0.25"/>
    <row r="1129" ht="14.25" customHeight="1" x14ac:dyDescent="0.25"/>
    <row r="1130" ht="14.25" customHeight="1" x14ac:dyDescent="0.25"/>
    <row r="1131" ht="14.25" customHeight="1" x14ac:dyDescent="0.25"/>
    <row r="1132" ht="14.25" customHeight="1" x14ac:dyDescent="0.25"/>
    <row r="1133" ht="14.25" customHeight="1" x14ac:dyDescent="0.25"/>
    <row r="1134" ht="14.25" customHeight="1" x14ac:dyDescent="0.25"/>
    <row r="1135" ht="14.25" customHeight="1" x14ac:dyDescent="0.25"/>
    <row r="1136" ht="14.25" customHeight="1" x14ac:dyDescent="0.25"/>
    <row r="1137" ht="14.25" customHeight="1" x14ac:dyDescent="0.25"/>
    <row r="1138" ht="14.25" customHeight="1" x14ac:dyDescent="0.25"/>
    <row r="1139" ht="14.25" customHeight="1" x14ac:dyDescent="0.25"/>
    <row r="1140" ht="14.25" customHeight="1" x14ac:dyDescent="0.25"/>
    <row r="1141" ht="14.25" customHeight="1" x14ac:dyDescent="0.25"/>
    <row r="1142" ht="14.25" customHeight="1" x14ac:dyDescent="0.25"/>
    <row r="1143" ht="14.25" customHeight="1" x14ac:dyDescent="0.25"/>
    <row r="1144" ht="14.25" customHeight="1" x14ac:dyDescent="0.25"/>
    <row r="1145" ht="14.25" customHeight="1" x14ac:dyDescent="0.25"/>
    <row r="1146" ht="14.25" customHeight="1" x14ac:dyDescent="0.25"/>
    <row r="1147" ht="14.25" customHeight="1" x14ac:dyDescent="0.25"/>
    <row r="1148" ht="14.25" customHeight="1" x14ac:dyDescent="0.25"/>
    <row r="1149" ht="14.25" customHeight="1" x14ac:dyDescent="0.25"/>
    <row r="1150" ht="14.25" customHeight="1" x14ac:dyDescent="0.25"/>
    <row r="1151" ht="14.25" customHeight="1" x14ac:dyDescent="0.25"/>
    <row r="1152" ht="14.25" customHeight="1" x14ac:dyDescent="0.25"/>
    <row r="1153" ht="14.25" customHeight="1" x14ac:dyDescent="0.25"/>
    <row r="1154" ht="14.25" customHeight="1" x14ac:dyDescent="0.25"/>
    <row r="1155" ht="14.25" customHeight="1" x14ac:dyDescent="0.25"/>
    <row r="1156" ht="14.25" customHeight="1" x14ac:dyDescent="0.25"/>
    <row r="1157" ht="14.25" customHeight="1" x14ac:dyDescent="0.25"/>
    <row r="1158" ht="14.25" customHeight="1" x14ac:dyDescent="0.25"/>
    <row r="1159" ht="14.25" customHeight="1" x14ac:dyDescent="0.25"/>
    <row r="1160" ht="14.25" customHeight="1" x14ac:dyDescent="0.25"/>
    <row r="1161" ht="14.25" customHeight="1" x14ac:dyDescent="0.25"/>
    <row r="1162" ht="14.25" customHeight="1" x14ac:dyDescent="0.25"/>
    <row r="1163" ht="14.25" customHeight="1" x14ac:dyDescent="0.25"/>
    <row r="1164" ht="14.25" customHeight="1" x14ac:dyDescent="0.25"/>
    <row r="1165" ht="14.25" customHeight="1" x14ac:dyDescent="0.25"/>
    <row r="1166" ht="14.25" customHeight="1" x14ac:dyDescent="0.25"/>
  </sheetData>
  <mergeCells count="2">
    <mergeCell ref="A355:C355"/>
    <mergeCell ref="A370:E370"/>
  </mergeCells>
  <conditionalFormatting sqref="B15:F2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3:F62">
    <cfRule type="colorScale" priority="6">
      <colorScale>
        <cfvo type="min"/>
        <cfvo type="max"/>
        <color rgb="FFFCFCFF"/>
        <color rgb="FF63BE7B"/>
      </colorScale>
    </cfRule>
  </conditionalFormatting>
  <conditionalFormatting sqref="B105:G114">
    <cfRule type="colorScale" priority="5">
      <colorScale>
        <cfvo type="min"/>
        <cfvo type="max"/>
        <color rgb="FFFCFCFF"/>
        <color rgb="FFF8696B"/>
      </colorScale>
    </cfRule>
  </conditionalFormatting>
  <conditionalFormatting sqref="B148:G15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max"/>
        <color rgb="FFFFEF9C"/>
        <color rgb="FF63BE7B"/>
      </colorScale>
    </cfRule>
  </conditionalFormatting>
  <conditionalFormatting sqref="B186:G19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7:F31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showGridLines="0" workbookViewId="0">
      <selection activeCell="B46" sqref="B46"/>
    </sheetView>
  </sheetViews>
  <sheetFormatPr defaultColWidth="14.42578125" defaultRowHeight="15" customHeight="1" x14ac:dyDescent="0.25"/>
  <cols>
    <col min="1" max="1" width="10.5703125" customWidth="1"/>
    <col min="2" max="2" width="10.140625" customWidth="1"/>
    <col min="3" max="3" width="11.7109375" customWidth="1"/>
    <col min="4" max="4" width="15" customWidth="1"/>
    <col min="5" max="5" width="11.140625" customWidth="1"/>
    <col min="6" max="6" width="15.140625" customWidth="1"/>
    <col min="7" max="7" width="10" customWidth="1"/>
    <col min="8" max="8" width="12.85546875" customWidth="1"/>
    <col min="9" max="9" width="17.28515625" customWidth="1"/>
    <col min="10" max="10" width="15" customWidth="1"/>
    <col min="11" max="11" width="18.85546875" customWidth="1"/>
    <col min="12" max="12" width="12.85546875" customWidth="1"/>
    <col min="13" max="13" width="11.85546875" customWidth="1"/>
    <col min="14" max="14" width="26.85546875" bestFit="1" customWidth="1"/>
    <col min="15" max="27" width="8.7109375" customWidth="1"/>
  </cols>
  <sheetData>
    <row r="1" spans="1:14" ht="14.25" customHeight="1" x14ac:dyDescent="0.25">
      <c r="A1" s="9" t="s">
        <v>13</v>
      </c>
      <c r="B1" s="9" t="s">
        <v>24</v>
      </c>
      <c r="C1" s="9" t="s">
        <v>25</v>
      </c>
      <c r="D1" s="9" t="s">
        <v>637</v>
      </c>
      <c r="E1" s="15" t="s">
        <v>15</v>
      </c>
      <c r="F1" s="15" t="s">
        <v>31</v>
      </c>
      <c r="G1" s="9" t="s">
        <v>14</v>
      </c>
      <c r="H1" s="9" t="s">
        <v>32</v>
      </c>
      <c r="I1" s="15" t="s">
        <v>33</v>
      </c>
      <c r="J1" s="9" t="s">
        <v>34</v>
      </c>
      <c r="K1" s="15" t="s">
        <v>35</v>
      </c>
      <c r="L1" s="9" t="s">
        <v>36</v>
      </c>
      <c r="M1" s="15" t="s">
        <v>37</v>
      </c>
      <c r="N1" s="51" t="s">
        <v>647</v>
      </c>
    </row>
    <row r="2" spans="1:14" ht="14.25" customHeight="1" x14ac:dyDescent="0.25">
      <c r="A2" s="12" t="s">
        <v>38</v>
      </c>
      <c r="B2" s="12" t="s">
        <v>39</v>
      </c>
      <c r="C2" s="14">
        <v>28338</v>
      </c>
      <c r="D2" s="17">
        <f>YEAR(C2)</f>
        <v>1977</v>
      </c>
      <c r="E2" s="16">
        <f t="shared" ref="E2:E65" si="0">2025-D2</f>
        <v>48</v>
      </c>
      <c r="F2" s="12" t="str">
        <f>IF(AND(E2&gt;=0,E2&lt;20),"0=&lt;20",IF(AND(E2&gt;=20,E2&lt;30),"20=&lt;30",IF(AND(E2&gt;=30,E2&lt;40),"30=&lt;40",IF(AND(E2&gt;=40,E2&lt;60),"40=&lt;60",IF(AND(E2&gt;=60),"60=&lt;")))))</f>
        <v>40=&lt;60</v>
      </c>
      <c r="G2" s="12" t="s">
        <v>40</v>
      </c>
      <c r="H2" s="13">
        <v>2338.12</v>
      </c>
      <c r="I2" s="12" t="str">
        <f>IF(AND(H2&lt;1000),"&lt;1000 AZN",IF(AND(H2&gt;=1000,H2&lt;2000),"1000=&lt;2000 AZN",IF(AND(H2&gt;=2000,H2&lt;3000),"2000=&lt;3000 AZN",IF(AND(H2&gt;=3000,H2&lt;4000),"3000=&lt;4000 AZN",IF(AND(H2&gt;=4000,H2&lt;5000),"4000=&lt;5000 AZN",IF(AND(H2&gt;=5000,),"5000=&lt; AZN"))))))</f>
        <v>2000=&lt;3000 AZN</v>
      </c>
      <c r="J2" s="13">
        <v>3294.6</v>
      </c>
      <c r="K2" s="12" t="str">
        <f>IF(AND(J2&lt;1000),"&lt;1000 AZN",IF(AND(J2&gt;=1000,J2&lt;2000),"1000=&lt;2000 AZN",IF(AND(J2&gt;=2000,J2&lt;3000),"2000=&lt;3000 AZN",IF(AND(J2&gt;=3000,J2&lt;4000),"3000=&lt;4000 AZN",IF(AND(J2&gt;=4000,J2&lt;5000),"4000=&lt;5000 AZN",IF(AND(J2&gt;=5000,),"5000=&lt;  AZN"))))))</f>
        <v>3000=&lt;4000 AZN</v>
      </c>
      <c r="L2" s="13">
        <f>H2-J2</f>
        <v>-956.48</v>
      </c>
      <c r="M2" s="52" t="str">
        <f>IF(L2&lt;0,"menfi","musbet")</f>
        <v>menfi</v>
      </c>
      <c r="N2" s="19" t="str">
        <f>_xlfn.CONCAT(A2," ",B2," ",C2)</f>
        <v>Lütfiyyə Düzgün 28338</v>
      </c>
    </row>
    <row r="3" spans="1:14" ht="14.25" customHeight="1" x14ac:dyDescent="0.25">
      <c r="A3" s="12" t="s">
        <v>41</v>
      </c>
      <c r="B3" s="12" t="s">
        <v>26</v>
      </c>
      <c r="C3" s="14">
        <v>23447</v>
      </c>
      <c r="D3" s="17">
        <f t="shared" ref="D3:D66" si="1">YEAR(C3)</f>
        <v>1964</v>
      </c>
      <c r="E3" s="16">
        <f t="shared" si="0"/>
        <v>61</v>
      </c>
      <c r="F3" s="12" t="str">
        <f t="shared" ref="F3:F66" si="2">IF(AND(E3&gt;=0,E3&lt;20),"0=&lt;20",IF(AND(E3&gt;=20,E3&lt;30),"20=&lt;30",IF(AND(E3&gt;=30,E3&lt;40),"30=&lt;40",IF(AND(E3&gt;=40,E3&lt;60),"40=&lt;60",IF(AND(E3&gt;=60),"60=&lt;")))))</f>
        <v>60=&lt;</v>
      </c>
      <c r="G3" s="12" t="s">
        <v>42</v>
      </c>
      <c r="H3" s="13">
        <v>811.79</v>
      </c>
      <c r="I3" s="12" t="str">
        <f t="shared" ref="I3:I66" si="3">IF(AND(H3&lt;1000),"&lt;1000 AZN",IF(AND(H3&gt;=1000,H3&lt;2000),"1000=&lt;2000 AZN",IF(AND(H3&gt;=2000,H3&lt;3000),"2000=&lt;3000 AZN",IF(AND(H3&gt;=3000,H3&lt;4000),"3000=&lt;4000 AZN",IF(AND(H3&gt;=4000,H3&lt;5000),"4000=&lt;5000 AZN",IF(AND(H3&gt;=5000,),"5000=&lt;  AZN"))))))</f>
        <v>&lt;1000 AZN</v>
      </c>
      <c r="J3" s="13">
        <v>3300.72</v>
      </c>
      <c r="K3" s="12" t="str">
        <f t="shared" ref="K3:K66" si="4">IF(AND(J3&lt;1000),"&lt;1000 AZN",IF(AND(J3&gt;=1000,J3&lt;2000),"1000=&lt;2000 AZN",IF(AND(J3&gt;=2000,J3&lt;3000),"2000=&lt;3000 AZN",IF(AND(J3&gt;=3000,J3&lt;4000),"3000=&lt;4000 AZN",IF(AND(J3&gt;=4000,J3&lt;5000),"4000=&lt;5000 AZN",IF(AND(J3&gt;=5000,),"5000=&lt;  AZN"))))))</f>
        <v>3000=&lt;4000 AZN</v>
      </c>
      <c r="L3" s="13">
        <f t="shared" ref="L3:L66" si="5">H3-J3</f>
        <v>-2488.9299999999998</v>
      </c>
      <c r="M3" s="52" t="str">
        <f t="shared" ref="M3:M66" si="6">IF(L3&lt;0,"menfi","musbet")</f>
        <v>menfi</v>
      </c>
      <c r="N3" s="19" t="str">
        <f t="shared" ref="N3:N66" si="7">_xlfn.CONCAT(A3," ",B3," ",C3)</f>
        <v>Ofeliya Həsənli 23447</v>
      </c>
    </row>
    <row r="4" spans="1:14" ht="14.25" customHeight="1" x14ac:dyDescent="0.25">
      <c r="A4" s="12" t="s">
        <v>43</v>
      </c>
      <c r="B4" s="12" t="s">
        <v>44</v>
      </c>
      <c r="C4" s="14">
        <v>24827</v>
      </c>
      <c r="D4" s="17">
        <f t="shared" si="1"/>
        <v>1967</v>
      </c>
      <c r="E4" s="16">
        <f t="shared" si="0"/>
        <v>58</v>
      </c>
      <c r="F4" s="12" t="str">
        <f t="shared" si="2"/>
        <v>40=&lt;60</v>
      </c>
      <c r="G4" s="12" t="s">
        <v>45</v>
      </c>
      <c r="H4" s="13">
        <v>432.17</v>
      </c>
      <c r="I4" s="12" t="str">
        <f t="shared" si="3"/>
        <v>&lt;1000 AZN</v>
      </c>
      <c r="J4" s="13">
        <v>3630.23</v>
      </c>
      <c r="K4" s="12" t="str">
        <f t="shared" si="4"/>
        <v>3000=&lt;4000 AZN</v>
      </c>
      <c r="L4" s="13">
        <f t="shared" si="5"/>
        <v>-3198.06</v>
      </c>
      <c r="M4" s="52" t="str">
        <f t="shared" si="6"/>
        <v>menfi</v>
      </c>
      <c r="N4" s="19" t="str">
        <f t="shared" si="7"/>
        <v>Qənirə Təhmin 24827</v>
      </c>
    </row>
    <row r="5" spans="1:14" ht="14.25" customHeight="1" x14ac:dyDescent="0.25">
      <c r="A5" s="12" t="s">
        <v>46</v>
      </c>
      <c r="B5" s="12" t="s">
        <v>39</v>
      </c>
      <c r="C5" s="14">
        <v>22552</v>
      </c>
      <c r="D5" s="17">
        <f t="shared" si="1"/>
        <v>1961</v>
      </c>
      <c r="E5" s="16">
        <f t="shared" si="0"/>
        <v>64</v>
      </c>
      <c r="F5" s="12" t="str">
        <f t="shared" si="2"/>
        <v>60=&lt;</v>
      </c>
      <c r="G5" s="12" t="s">
        <v>40</v>
      </c>
      <c r="H5" s="13">
        <v>2702.23</v>
      </c>
      <c r="I5" s="12" t="str">
        <f t="shared" si="3"/>
        <v>2000=&lt;3000 AZN</v>
      </c>
      <c r="J5" s="13">
        <v>2129.4899999999998</v>
      </c>
      <c r="K5" s="12" t="str">
        <f t="shared" si="4"/>
        <v>2000=&lt;3000 AZN</v>
      </c>
      <c r="L5" s="13">
        <f t="shared" si="5"/>
        <v>572.74000000000024</v>
      </c>
      <c r="M5" s="52" t="str">
        <f t="shared" si="6"/>
        <v>musbet</v>
      </c>
      <c r="N5" s="19" t="str">
        <f t="shared" si="7"/>
        <v>Şükür Düzgün 22552</v>
      </c>
    </row>
    <row r="6" spans="1:14" ht="14.25" customHeight="1" x14ac:dyDescent="0.25">
      <c r="A6" s="12" t="s">
        <v>47</v>
      </c>
      <c r="B6" s="12" t="s">
        <v>48</v>
      </c>
      <c r="C6" s="14">
        <v>26548</v>
      </c>
      <c r="D6" s="17">
        <f t="shared" si="1"/>
        <v>1972</v>
      </c>
      <c r="E6" s="16">
        <f t="shared" si="0"/>
        <v>53</v>
      </c>
      <c r="F6" s="12" t="str">
        <f t="shared" si="2"/>
        <v>40=&lt;60</v>
      </c>
      <c r="G6" s="12" t="s">
        <v>49</v>
      </c>
      <c r="H6" s="13">
        <v>903.51</v>
      </c>
      <c r="I6" s="12" t="str">
        <f t="shared" si="3"/>
        <v>&lt;1000 AZN</v>
      </c>
      <c r="J6" s="13">
        <v>437.48</v>
      </c>
      <c r="K6" s="12" t="str">
        <f t="shared" si="4"/>
        <v>&lt;1000 AZN</v>
      </c>
      <c r="L6" s="13">
        <f t="shared" si="5"/>
        <v>466.03</v>
      </c>
      <c r="M6" s="52" t="str">
        <f t="shared" si="6"/>
        <v>musbet</v>
      </c>
      <c r="N6" s="19" t="str">
        <f t="shared" si="7"/>
        <v>Aytən Abbasbəyli 26548</v>
      </c>
    </row>
    <row r="7" spans="1:14" ht="14.25" customHeight="1" x14ac:dyDescent="0.25">
      <c r="A7" s="12" t="s">
        <v>50</v>
      </c>
      <c r="B7" s="12" t="s">
        <v>26</v>
      </c>
      <c r="C7" s="14">
        <v>22234</v>
      </c>
      <c r="D7" s="17">
        <f t="shared" si="1"/>
        <v>1960</v>
      </c>
      <c r="E7" s="16">
        <f t="shared" si="0"/>
        <v>65</v>
      </c>
      <c r="F7" s="12" t="str">
        <f t="shared" si="2"/>
        <v>60=&lt;</v>
      </c>
      <c r="G7" s="12" t="s">
        <v>51</v>
      </c>
      <c r="H7" s="13">
        <v>1169.29</v>
      </c>
      <c r="I7" s="12" t="str">
        <f t="shared" si="3"/>
        <v>1000=&lt;2000 AZN</v>
      </c>
      <c r="J7" s="13">
        <v>1085.57</v>
      </c>
      <c r="K7" s="12" t="str">
        <f t="shared" si="4"/>
        <v>1000=&lt;2000 AZN</v>
      </c>
      <c r="L7" s="13">
        <f t="shared" si="5"/>
        <v>83.720000000000027</v>
      </c>
      <c r="M7" s="52" t="str">
        <f t="shared" si="6"/>
        <v>musbet</v>
      </c>
      <c r="N7" s="19" t="str">
        <f t="shared" si="7"/>
        <v>Mənsurə Həsənli 22234</v>
      </c>
    </row>
    <row r="8" spans="1:14" ht="14.25" customHeight="1" x14ac:dyDescent="0.25">
      <c r="A8" s="12" t="s">
        <v>52</v>
      </c>
      <c r="B8" s="12" t="s">
        <v>27</v>
      </c>
      <c r="C8" s="14">
        <v>25010</v>
      </c>
      <c r="D8" s="17">
        <f t="shared" si="1"/>
        <v>1968</v>
      </c>
      <c r="E8" s="16">
        <f t="shared" si="0"/>
        <v>57</v>
      </c>
      <c r="F8" s="12" t="str">
        <f t="shared" si="2"/>
        <v>40=&lt;60</v>
      </c>
      <c r="G8" s="12" t="s">
        <v>53</v>
      </c>
      <c r="H8" s="13">
        <v>4944</v>
      </c>
      <c r="I8" s="12" t="str">
        <f t="shared" si="3"/>
        <v>4000=&lt;5000 AZN</v>
      </c>
      <c r="J8" s="13">
        <v>4347.45</v>
      </c>
      <c r="K8" s="12" t="str">
        <f t="shared" si="4"/>
        <v>4000=&lt;5000 AZN</v>
      </c>
      <c r="L8" s="13">
        <f t="shared" si="5"/>
        <v>596.55000000000018</v>
      </c>
      <c r="M8" s="52" t="str">
        <f t="shared" si="6"/>
        <v>musbet</v>
      </c>
      <c r="N8" s="19" t="str">
        <f t="shared" si="7"/>
        <v>Ruhiyyə Vurğun 25010</v>
      </c>
    </row>
    <row r="9" spans="1:14" ht="14.25" customHeight="1" x14ac:dyDescent="0.25">
      <c r="A9" s="12" t="s">
        <v>54</v>
      </c>
      <c r="B9" s="12" t="s">
        <v>48</v>
      </c>
      <c r="C9" s="14">
        <v>33355</v>
      </c>
      <c r="D9" s="17">
        <f t="shared" si="1"/>
        <v>1991</v>
      </c>
      <c r="E9" s="16">
        <f t="shared" si="0"/>
        <v>34</v>
      </c>
      <c r="F9" s="12" t="str">
        <f t="shared" si="2"/>
        <v>30=&lt;40</v>
      </c>
      <c r="G9" s="12" t="s">
        <v>51</v>
      </c>
      <c r="H9" s="13">
        <v>434.43</v>
      </c>
      <c r="I9" s="12" t="str">
        <f t="shared" si="3"/>
        <v>&lt;1000 AZN</v>
      </c>
      <c r="J9" s="13">
        <v>4714.3999999999996</v>
      </c>
      <c r="K9" s="12" t="str">
        <f t="shared" si="4"/>
        <v>4000=&lt;5000 AZN</v>
      </c>
      <c r="L9" s="13">
        <f t="shared" si="5"/>
        <v>-4279.9699999999993</v>
      </c>
      <c r="M9" s="52" t="str">
        <f t="shared" si="6"/>
        <v>menfi</v>
      </c>
      <c r="N9" s="19" t="str">
        <f t="shared" si="7"/>
        <v>Elariz Abbasbəyli 33355</v>
      </c>
    </row>
    <row r="10" spans="1:14" ht="14.25" customHeight="1" x14ac:dyDescent="0.25">
      <c r="A10" s="12" t="s">
        <v>55</v>
      </c>
      <c r="B10" s="12" t="s">
        <v>56</v>
      </c>
      <c r="C10" s="14">
        <v>31499</v>
      </c>
      <c r="D10" s="17">
        <f t="shared" si="1"/>
        <v>1986</v>
      </c>
      <c r="E10" s="16">
        <f t="shared" si="0"/>
        <v>39</v>
      </c>
      <c r="F10" s="12" t="str">
        <f t="shared" si="2"/>
        <v>30=&lt;40</v>
      </c>
      <c r="G10" s="12" t="s">
        <v>42</v>
      </c>
      <c r="H10" s="13">
        <v>1758.22</v>
      </c>
      <c r="I10" s="12" t="str">
        <f t="shared" si="3"/>
        <v>1000=&lt;2000 AZN</v>
      </c>
      <c r="J10" s="13">
        <v>4094.44</v>
      </c>
      <c r="K10" s="12" t="str">
        <f t="shared" si="4"/>
        <v>4000=&lt;5000 AZN</v>
      </c>
      <c r="L10" s="13">
        <f t="shared" si="5"/>
        <v>-2336.2200000000003</v>
      </c>
      <c r="M10" s="52" t="str">
        <f t="shared" si="6"/>
        <v>menfi</v>
      </c>
      <c r="N10" s="19" t="str">
        <f t="shared" si="7"/>
        <v>Nihal Talıbzadə 31499</v>
      </c>
    </row>
    <row r="11" spans="1:14" ht="14.25" customHeight="1" x14ac:dyDescent="0.25">
      <c r="A11" s="12" t="s">
        <v>57</v>
      </c>
      <c r="B11" s="12" t="s">
        <v>48</v>
      </c>
      <c r="C11" s="14">
        <v>36531</v>
      </c>
      <c r="D11" s="17">
        <f t="shared" si="1"/>
        <v>2000</v>
      </c>
      <c r="E11" s="16">
        <f t="shared" si="0"/>
        <v>25</v>
      </c>
      <c r="F11" s="12" t="str">
        <f t="shared" si="2"/>
        <v>20=&lt;30</v>
      </c>
      <c r="G11" s="12" t="s">
        <v>58</v>
      </c>
      <c r="H11" s="13">
        <v>2791.71</v>
      </c>
      <c r="I11" s="12" t="str">
        <f t="shared" si="3"/>
        <v>2000=&lt;3000 AZN</v>
      </c>
      <c r="J11" s="13">
        <v>2785.4</v>
      </c>
      <c r="K11" s="12" t="str">
        <f t="shared" si="4"/>
        <v>2000=&lt;3000 AZN</v>
      </c>
      <c r="L11" s="13">
        <f t="shared" si="5"/>
        <v>6.3099999999999454</v>
      </c>
      <c r="M11" s="52" t="str">
        <f t="shared" si="6"/>
        <v>musbet</v>
      </c>
      <c r="N11" s="19" t="str">
        <f t="shared" si="7"/>
        <v>Reyhanə Abbasbəyli 36531</v>
      </c>
    </row>
    <row r="12" spans="1:14" ht="14.25" customHeight="1" x14ac:dyDescent="0.25">
      <c r="A12" s="12" t="s">
        <v>59</v>
      </c>
      <c r="B12" s="12" t="s">
        <v>44</v>
      </c>
      <c r="C12" s="14">
        <v>35871</v>
      </c>
      <c r="D12" s="17">
        <f t="shared" si="1"/>
        <v>1998</v>
      </c>
      <c r="E12" s="16">
        <f t="shared" si="0"/>
        <v>27</v>
      </c>
      <c r="F12" s="12" t="str">
        <f t="shared" si="2"/>
        <v>20=&lt;30</v>
      </c>
      <c r="G12" s="12" t="s">
        <v>60</v>
      </c>
      <c r="H12" s="13">
        <v>4269.83</v>
      </c>
      <c r="I12" s="12" t="str">
        <f t="shared" si="3"/>
        <v>4000=&lt;5000 AZN</v>
      </c>
      <c r="J12" s="13">
        <v>4816.49</v>
      </c>
      <c r="K12" s="12" t="str">
        <f t="shared" si="4"/>
        <v>4000=&lt;5000 AZN</v>
      </c>
      <c r="L12" s="13">
        <f t="shared" si="5"/>
        <v>-546.65999999999985</v>
      </c>
      <c r="M12" s="52" t="str">
        <f t="shared" si="6"/>
        <v>menfi</v>
      </c>
      <c r="N12" s="19" t="str">
        <f t="shared" si="7"/>
        <v>Aidə Təhmin 35871</v>
      </c>
    </row>
    <row r="13" spans="1:14" ht="14.25" customHeight="1" x14ac:dyDescent="0.25">
      <c r="A13" s="12" t="s">
        <v>61</v>
      </c>
      <c r="B13" s="12" t="s">
        <v>56</v>
      </c>
      <c r="C13" s="14">
        <v>32529</v>
      </c>
      <c r="D13" s="17">
        <f t="shared" si="1"/>
        <v>1989</v>
      </c>
      <c r="E13" s="16">
        <f t="shared" si="0"/>
        <v>36</v>
      </c>
      <c r="F13" s="12" t="str">
        <f t="shared" si="2"/>
        <v>30=&lt;40</v>
      </c>
      <c r="G13" s="12" t="s">
        <v>40</v>
      </c>
      <c r="H13" s="13">
        <v>3613.68</v>
      </c>
      <c r="I13" s="12" t="str">
        <f t="shared" si="3"/>
        <v>3000=&lt;4000 AZN</v>
      </c>
      <c r="J13" s="13">
        <v>802.97</v>
      </c>
      <c r="K13" s="12" t="str">
        <f t="shared" si="4"/>
        <v>&lt;1000 AZN</v>
      </c>
      <c r="L13" s="13">
        <f t="shared" si="5"/>
        <v>2810.71</v>
      </c>
      <c r="M13" s="52" t="str">
        <f t="shared" si="6"/>
        <v>musbet</v>
      </c>
      <c r="N13" s="19" t="str">
        <f t="shared" si="7"/>
        <v>Hüseyn Talıbzadə 32529</v>
      </c>
    </row>
    <row r="14" spans="1:14" ht="14.25" customHeight="1" x14ac:dyDescent="0.25">
      <c r="A14" s="12" t="s">
        <v>62</v>
      </c>
      <c r="B14" s="12" t="s">
        <v>56</v>
      </c>
      <c r="C14" s="14">
        <v>37245</v>
      </c>
      <c r="D14" s="17">
        <f t="shared" si="1"/>
        <v>2001</v>
      </c>
      <c r="E14" s="16">
        <f t="shared" si="0"/>
        <v>24</v>
      </c>
      <c r="F14" s="12" t="str">
        <f t="shared" si="2"/>
        <v>20=&lt;30</v>
      </c>
      <c r="G14" s="12" t="s">
        <v>63</v>
      </c>
      <c r="H14" s="13">
        <v>3614.42</v>
      </c>
      <c r="I14" s="12" t="str">
        <f t="shared" si="3"/>
        <v>3000=&lt;4000 AZN</v>
      </c>
      <c r="J14" s="13">
        <v>4242.08</v>
      </c>
      <c r="K14" s="12" t="str">
        <f t="shared" si="4"/>
        <v>4000=&lt;5000 AZN</v>
      </c>
      <c r="L14" s="13">
        <f t="shared" si="5"/>
        <v>-627.65999999999985</v>
      </c>
      <c r="M14" s="52" t="str">
        <f t="shared" si="6"/>
        <v>menfi</v>
      </c>
      <c r="N14" s="19" t="str">
        <f t="shared" si="7"/>
        <v>Tamaşa Talıbzadə 37245</v>
      </c>
    </row>
    <row r="15" spans="1:14" ht="14.25" customHeight="1" x14ac:dyDescent="0.25">
      <c r="A15" s="12" t="s">
        <v>64</v>
      </c>
      <c r="B15" s="12" t="s">
        <v>65</v>
      </c>
      <c r="C15" s="14">
        <v>32408</v>
      </c>
      <c r="D15" s="17">
        <f t="shared" si="1"/>
        <v>1988</v>
      </c>
      <c r="E15" s="16">
        <f t="shared" si="0"/>
        <v>37</v>
      </c>
      <c r="F15" s="12" t="str">
        <f t="shared" si="2"/>
        <v>30=&lt;40</v>
      </c>
      <c r="G15" s="12" t="s">
        <v>66</v>
      </c>
      <c r="H15" s="13">
        <v>602.20000000000005</v>
      </c>
      <c r="I15" s="12" t="str">
        <f t="shared" si="3"/>
        <v>&lt;1000 AZN</v>
      </c>
      <c r="J15" s="13">
        <v>3356.47</v>
      </c>
      <c r="K15" s="12" t="str">
        <f t="shared" si="4"/>
        <v>3000=&lt;4000 AZN</v>
      </c>
      <c r="L15" s="13">
        <f t="shared" si="5"/>
        <v>-2754.2699999999995</v>
      </c>
      <c r="M15" s="52" t="str">
        <f t="shared" si="6"/>
        <v>menfi</v>
      </c>
      <c r="N15" s="19" t="str">
        <f t="shared" si="7"/>
        <v>Hafiz Cabbarov 32408</v>
      </c>
    </row>
    <row r="16" spans="1:14" ht="14.25" customHeight="1" x14ac:dyDescent="0.25">
      <c r="A16" s="12" t="s">
        <v>67</v>
      </c>
      <c r="B16" s="12" t="s">
        <v>48</v>
      </c>
      <c r="C16" s="14">
        <v>33303</v>
      </c>
      <c r="D16" s="17">
        <f t="shared" si="1"/>
        <v>1991</v>
      </c>
      <c r="E16" s="16">
        <f t="shared" si="0"/>
        <v>34</v>
      </c>
      <c r="F16" s="12" t="str">
        <f t="shared" si="2"/>
        <v>30=&lt;40</v>
      </c>
      <c r="G16" s="12" t="s">
        <v>42</v>
      </c>
      <c r="H16" s="13">
        <v>1829.72</v>
      </c>
      <c r="I16" s="12" t="str">
        <f t="shared" si="3"/>
        <v>1000=&lt;2000 AZN</v>
      </c>
      <c r="J16" s="13">
        <v>810.45</v>
      </c>
      <c r="K16" s="12" t="str">
        <f t="shared" si="4"/>
        <v>&lt;1000 AZN</v>
      </c>
      <c r="L16" s="13">
        <f t="shared" si="5"/>
        <v>1019.27</v>
      </c>
      <c r="M16" s="52" t="str">
        <f t="shared" si="6"/>
        <v>musbet</v>
      </c>
      <c r="N16" s="19" t="str">
        <f t="shared" si="7"/>
        <v>Sevil Abbasbəyli 33303</v>
      </c>
    </row>
    <row r="17" spans="1:14" ht="14.25" customHeight="1" x14ac:dyDescent="0.25">
      <c r="A17" s="12" t="s">
        <v>68</v>
      </c>
      <c r="B17" s="12" t="s">
        <v>56</v>
      </c>
      <c r="C17" s="14">
        <v>25862</v>
      </c>
      <c r="D17" s="17">
        <f t="shared" si="1"/>
        <v>1970</v>
      </c>
      <c r="E17" s="16">
        <f t="shared" si="0"/>
        <v>55</v>
      </c>
      <c r="F17" s="12" t="str">
        <f t="shared" si="2"/>
        <v>40=&lt;60</v>
      </c>
      <c r="G17" s="12" t="s">
        <v>49</v>
      </c>
      <c r="H17" s="13">
        <v>4413.76</v>
      </c>
      <c r="I17" s="12" t="str">
        <f t="shared" si="3"/>
        <v>4000=&lt;5000 AZN</v>
      </c>
      <c r="J17" s="13">
        <v>2213.23</v>
      </c>
      <c r="K17" s="12" t="str">
        <f t="shared" si="4"/>
        <v>2000=&lt;3000 AZN</v>
      </c>
      <c r="L17" s="13">
        <f t="shared" si="5"/>
        <v>2200.5300000000002</v>
      </c>
      <c r="M17" s="52" t="str">
        <f t="shared" si="6"/>
        <v>musbet</v>
      </c>
      <c r="N17" s="19" t="str">
        <f t="shared" si="7"/>
        <v>Laçın Talıbzadə 25862</v>
      </c>
    </row>
    <row r="18" spans="1:14" ht="14.25" customHeight="1" x14ac:dyDescent="0.25">
      <c r="A18" s="12" t="s">
        <v>69</v>
      </c>
      <c r="B18" s="12" t="s">
        <v>30</v>
      </c>
      <c r="C18" s="14">
        <v>34915</v>
      </c>
      <c r="D18" s="17">
        <f t="shared" si="1"/>
        <v>1995</v>
      </c>
      <c r="E18" s="16">
        <f t="shared" si="0"/>
        <v>30</v>
      </c>
      <c r="F18" s="12" t="str">
        <f t="shared" si="2"/>
        <v>30=&lt;40</v>
      </c>
      <c r="G18" s="12" t="s">
        <v>51</v>
      </c>
      <c r="H18" s="13">
        <v>1244.8900000000001</v>
      </c>
      <c r="I18" s="12" t="str">
        <f t="shared" si="3"/>
        <v>1000=&lt;2000 AZN</v>
      </c>
      <c r="J18" s="13">
        <v>2525.4899999999998</v>
      </c>
      <c r="K18" s="12" t="str">
        <f t="shared" si="4"/>
        <v>2000=&lt;3000 AZN</v>
      </c>
      <c r="L18" s="13">
        <f t="shared" si="5"/>
        <v>-1280.5999999999997</v>
      </c>
      <c r="M18" s="52" t="str">
        <f t="shared" si="6"/>
        <v>menfi</v>
      </c>
      <c r="N18" s="19" t="str">
        <f t="shared" si="7"/>
        <v>Nərminə Bəktaşi 34915</v>
      </c>
    </row>
    <row r="19" spans="1:14" ht="14.25" customHeight="1" x14ac:dyDescent="0.25">
      <c r="A19" s="12" t="s">
        <v>70</v>
      </c>
      <c r="B19" s="12" t="s">
        <v>30</v>
      </c>
      <c r="C19" s="14">
        <v>23659</v>
      </c>
      <c r="D19" s="17">
        <f t="shared" si="1"/>
        <v>1964</v>
      </c>
      <c r="E19" s="16">
        <f t="shared" si="0"/>
        <v>61</v>
      </c>
      <c r="F19" s="12" t="str">
        <f t="shared" si="2"/>
        <v>60=&lt;</v>
      </c>
      <c r="G19" s="12" t="s">
        <v>60</v>
      </c>
      <c r="H19" s="13">
        <v>1452.19</v>
      </c>
      <c r="I19" s="12" t="str">
        <f t="shared" si="3"/>
        <v>1000=&lt;2000 AZN</v>
      </c>
      <c r="J19" s="13">
        <v>2806.17</v>
      </c>
      <c r="K19" s="12" t="str">
        <f t="shared" si="4"/>
        <v>2000=&lt;3000 AZN</v>
      </c>
      <c r="L19" s="13">
        <f t="shared" si="5"/>
        <v>-1353.98</v>
      </c>
      <c r="M19" s="52" t="str">
        <f t="shared" si="6"/>
        <v>menfi</v>
      </c>
      <c r="N19" s="19" t="str">
        <f t="shared" si="7"/>
        <v>Nisə Bəktaşi 23659</v>
      </c>
    </row>
    <row r="20" spans="1:14" ht="14.25" customHeight="1" x14ac:dyDescent="0.25">
      <c r="A20" s="12" t="s">
        <v>71</v>
      </c>
      <c r="B20" s="12" t="s">
        <v>29</v>
      </c>
      <c r="C20" s="14">
        <v>27101</v>
      </c>
      <c r="D20" s="17">
        <f t="shared" si="1"/>
        <v>1974</v>
      </c>
      <c r="E20" s="16">
        <f t="shared" si="0"/>
        <v>51</v>
      </c>
      <c r="F20" s="12" t="str">
        <f t="shared" si="2"/>
        <v>40=&lt;60</v>
      </c>
      <c r="G20" s="12" t="s">
        <v>49</v>
      </c>
      <c r="H20" s="13">
        <v>3247.69</v>
      </c>
      <c r="I20" s="12" t="str">
        <f t="shared" si="3"/>
        <v>3000=&lt;4000 AZN</v>
      </c>
      <c r="J20" s="13">
        <v>2498.6799999999998</v>
      </c>
      <c r="K20" s="12" t="str">
        <f t="shared" si="4"/>
        <v>2000=&lt;3000 AZN</v>
      </c>
      <c r="L20" s="13">
        <f t="shared" si="5"/>
        <v>749.01000000000022</v>
      </c>
      <c r="M20" s="52" t="str">
        <f t="shared" si="6"/>
        <v>musbet</v>
      </c>
      <c r="N20" s="19" t="str">
        <f t="shared" si="7"/>
        <v>Şamxal Bayramov 27101</v>
      </c>
    </row>
    <row r="21" spans="1:14" ht="14.25" customHeight="1" x14ac:dyDescent="0.25">
      <c r="A21" s="12" t="s">
        <v>72</v>
      </c>
      <c r="B21" s="12" t="s">
        <v>65</v>
      </c>
      <c r="C21" s="14">
        <v>30328</v>
      </c>
      <c r="D21" s="17">
        <f t="shared" si="1"/>
        <v>1983</v>
      </c>
      <c r="E21" s="16">
        <f t="shared" si="0"/>
        <v>42</v>
      </c>
      <c r="F21" s="12" t="str">
        <f t="shared" si="2"/>
        <v>40=&lt;60</v>
      </c>
      <c r="G21" s="12" t="s">
        <v>63</v>
      </c>
      <c r="H21" s="13">
        <v>1306.54</v>
      </c>
      <c r="I21" s="12" t="str">
        <f t="shared" si="3"/>
        <v>1000=&lt;2000 AZN</v>
      </c>
      <c r="J21" s="13">
        <v>4449.24</v>
      </c>
      <c r="K21" s="12" t="str">
        <f t="shared" si="4"/>
        <v>4000=&lt;5000 AZN</v>
      </c>
      <c r="L21" s="13">
        <f t="shared" si="5"/>
        <v>-3142.7</v>
      </c>
      <c r="M21" s="52" t="str">
        <f t="shared" si="6"/>
        <v>menfi</v>
      </c>
      <c r="N21" s="19" t="str">
        <f t="shared" si="7"/>
        <v>Qüdrət Cabbarov 30328</v>
      </c>
    </row>
    <row r="22" spans="1:14" ht="14.25" customHeight="1" x14ac:dyDescent="0.25">
      <c r="A22" s="12" t="s">
        <v>17</v>
      </c>
      <c r="B22" s="12" t="s">
        <v>26</v>
      </c>
      <c r="C22" s="14">
        <v>34770</v>
      </c>
      <c r="D22" s="17">
        <f t="shared" si="1"/>
        <v>1995</v>
      </c>
      <c r="E22" s="16">
        <f t="shared" si="0"/>
        <v>30</v>
      </c>
      <c r="F22" s="12" t="str">
        <f t="shared" si="2"/>
        <v>30=&lt;40</v>
      </c>
      <c r="G22" s="12" t="s">
        <v>49</v>
      </c>
      <c r="H22" s="13">
        <v>4753.88</v>
      </c>
      <c r="I22" s="12" t="str">
        <f t="shared" si="3"/>
        <v>4000=&lt;5000 AZN</v>
      </c>
      <c r="J22" s="13">
        <v>3171.72</v>
      </c>
      <c r="K22" s="12" t="str">
        <f t="shared" si="4"/>
        <v>3000=&lt;4000 AZN</v>
      </c>
      <c r="L22" s="13">
        <f t="shared" si="5"/>
        <v>1582.1600000000003</v>
      </c>
      <c r="M22" s="52" t="str">
        <f t="shared" si="6"/>
        <v>musbet</v>
      </c>
      <c r="N22" s="19" t="str">
        <f t="shared" si="7"/>
        <v>Mənsur Həsənli 34770</v>
      </c>
    </row>
    <row r="23" spans="1:14" ht="14.25" customHeight="1" x14ac:dyDescent="0.25">
      <c r="A23" s="12" t="s">
        <v>18</v>
      </c>
      <c r="B23" s="12" t="s">
        <v>27</v>
      </c>
      <c r="C23" s="14">
        <v>28034</v>
      </c>
      <c r="D23" s="17">
        <f t="shared" si="1"/>
        <v>1976</v>
      </c>
      <c r="E23" s="16">
        <f t="shared" si="0"/>
        <v>49</v>
      </c>
      <c r="F23" s="12" t="str">
        <f t="shared" si="2"/>
        <v>40=&lt;60</v>
      </c>
      <c r="G23" s="12" t="s">
        <v>49</v>
      </c>
      <c r="H23" s="13">
        <v>3795.96</v>
      </c>
      <c r="I23" s="12" t="str">
        <f t="shared" si="3"/>
        <v>3000=&lt;4000 AZN</v>
      </c>
      <c r="J23" s="13">
        <v>1843.62</v>
      </c>
      <c r="K23" s="12" t="str">
        <f t="shared" si="4"/>
        <v>1000=&lt;2000 AZN</v>
      </c>
      <c r="L23" s="13">
        <f t="shared" si="5"/>
        <v>1952.3400000000001</v>
      </c>
      <c r="M23" s="52" t="str">
        <f t="shared" si="6"/>
        <v>musbet</v>
      </c>
      <c r="N23" s="19" t="str">
        <f t="shared" si="7"/>
        <v>Hicran Vurğun 28034</v>
      </c>
    </row>
    <row r="24" spans="1:14" ht="14.25" customHeight="1" x14ac:dyDescent="0.25">
      <c r="A24" s="12" t="s">
        <v>19</v>
      </c>
      <c r="B24" s="12" t="s">
        <v>28</v>
      </c>
      <c r="C24" s="14">
        <v>27176</v>
      </c>
      <c r="D24" s="17">
        <f t="shared" si="1"/>
        <v>1974</v>
      </c>
      <c r="E24" s="16">
        <f t="shared" si="0"/>
        <v>51</v>
      </c>
      <c r="F24" s="12" t="str">
        <f t="shared" si="2"/>
        <v>40=&lt;60</v>
      </c>
      <c r="G24" s="12" t="s">
        <v>49</v>
      </c>
      <c r="H24" s="13">
        <v>3006.2</v>
      </c>
      <c r="I24" s="12" t="str">
        <f t="shared" si="3"/>
        <v>3000=&lt;4000 AZN</v>
      </c>
      <c r="J24" s="13">
        <v>3595.13</v>
      </c>
      <c r="K24" s="12" t="str">
        <f t="shared" si="4"/>
        <v>3000=&lt;4000 AZN</v>
      </c>
      <c r="L24" s="13">
        <f t="shared" si="5"/>
        <v>-588.93000000000029</v>
      </c>
      <c r="M24" s="52" t="str">
        <f t="shared" si="6"/>
        <v>menfi</v>
      </c>
      <c r="N24" s="19" t="str">
        <f t="shared" si="7"/>
        <v>Sədaqət Mirzəyev 27176</v>
      </c>
    </row>
    <row r="25" spans="1:14" ht="14.25" customHeight="1" x14ac:dyDescent="0.25">
      <c r="A25" s="12" t="s">
        <v>20</v>
      </c>
      <c r="B25" s="12" t="s">
        <v>29</v>
      </c>
      <c r="C25" s="14">
        <v>29362</v>
      </c>
      <c r="D25" s="17">
        <f t="shared" si="1"/>
        <v>1980</v>
      </c>
      <c r="E25" s="16">
        <f t="shared" si="0"/>
        <v>45</v>
      </c>
      <c r="F25" s="12" t="str">
        <f t="shared" si="2"/>
        <v>40=&lt;60</v>
      </c>
      <c r="G25" s="12" t="s">
        <v>63</v>
      </c>
      <c r="H25" s="13">
        <v>1490.09</v>
      </c>
      <c r="I25" s="12" t="str">
        <f t="shared" si="3"/>
        <v>1000=&lt;2000 AZN</v>
      </c>
      <c r="J25" s="13">
        <v>1310.84</v>
      </c>
      <c r="K25" s="12" t="str">
        <f t="shared" si="4"/>
        <v>1000=&lt;2000 AZN</v>
      </c>
      <c r="L25" s="13">
        <f t="shared" si="5"/>
        <v>179.25</v>
      </c>
      <c r="M25" s="52" t="str">
        <f t="shared" si="6"/>
        <v>musbet</v>
      </c>
      <c r="N25" s="19" t="str">
        <f t="shared" si="7"/>
        <v>Urfan Bayramov 29362</v>
      </c>
    </row>
    <row r="26" spans="1:14" ht="14.25" customHeight="1" x14ac:dyDescent="0.25">
      <c r="A26" s="12" t="s">
        <v>21</v>
      </c>
      <c r="B26" s="12" t="s">
        <v>30</v>
      </c>
      <c r="C26" s="14">
        <v>26744</v>
      </c>
      <c r="D26" s="17">
        <f t="shared" si="1"/>
        <v>1973</v>
      </c>
      <c r="E26" s="16">
        <f t="shared" si="0"/>
        <v>52</v>
      </c>
      <c r="F26" s="12" t="str">
        <f t="shared" si="2"/>
        <v>40=&lt;60</v>
      </c>
      <c r="G26" s="12" t="s">
        <v>60</v>
      </c>
      <c r="H26" s="13">
        <v>4109.3999999999996</v>
      </c>
      <c r="I26" s="12" t="str">
        <f t="shared" si="3"/>
        <v>4000=&lt;5000 AZN</v>
      </c>
      <c r="J26" s="13">
        <v>3539.78</v>
      </c>
      <c r="K26" s="12" t="str">
        <f t="shared" si="4"/>
        <v>3000=&lt;4000 AZN</v>
      </c>
      <c r="L26" s="13">
        <f t="shared" si="5"/>
        <v>569.61999999999944</v>
      </c>
      <c r="M26" s="52" t="str">
        <f t="shared" si="6"/>
        <v>musbet</v>
      </c>
      <c r="N26" s="19" t="str">
        <f t="shared" si="7"/>
        <v>Familə Bəktaşi 26744</v>
      </c>
    </row>
    <row r="27" spans="1:14" ht="14.25" customHeight="1" x14ac:dyDescent="0.25">
      <c r="A27" s="12" t="s">
        <v>22</v>
      </c>
      <c r="B27" s="12" t="s">
        <v>29</v>
      </c>
      <c r="C27" s="14">
        <v>26464</v>
      </c>
      <c r="D27" s="17">
        <f t="shared" si="1"/>
        <v>1972</v>
      </c>
      <c r="E27" s="16">
        <f t="shared" si="0"/>
        <v>53</v>
      </c>
      <c r="F27" s="12" t="str">
        <f t="shared" si="2"/>
        <v>40=&lt;60</v>
      </c>
      <c r="G27" s="12" t="s">
        <v>51</v>
      </c>
      <c r="H27" s="13">
        <v>3873.7</v>
      </c>
      <c r="I27" s="12" t="str">
        <f t="shared" si="3"/>
        <v>3000=&lt;4000 AZN</v>
      </c>
      <c r="J27" s="13">
        <v>1844.43</v>
      </c>
      <c r="K27" s="12" t="str">
        <f t="shared" si="4"/>
        <v>1000=&lt;2000 AZN</v>
      </c>
      <c r="L27" s="13">
        <f t="shared" si="5"/>
        <v>2029.2699999999998</v>
      </c>
      <c r="M27" s="52" t="str">
        <f t="shared" si="6"/>
        <v>musbet</v>
      </c>
      <c r="N27" s="19" t="str">
        <f t="shared" si="7"/>
        <v>Jalə Bayramov 26464</v>
      </c>
    </row>
    <row r="28" spans="1:14" ht="14.25" customHeight="1" x14ac:dyDescent="0.25">
      <c r="A28" s="12" t="s">
        <v>73</v>
      </c>
      <c r="B28" s="12" t="s">
        <v>28</v>
      </c>
      <c r="C28" s="14">
        <v>26535</v>
      </c>
      <c r="D28" s="17">
        <f t="shared" si="1"/>
        <v>1972</v>
      </c>
      <c r="E28" s="16">
        <f t="shared" si="0"/>
        <v>53</v>
      </c>
      <c r="F28" s="12" t="str">
        <f t="shared" si="2"/>
        <v>40=&lt;60</v>
      </c>
      <c r="G28" s="12" t="s">
        <v>49</v>
      </c>
      <c r="H28" s="13">
        <v>2043.46</v>
      </c>
      <c r="I28" s="12" t="str">
        <f t="shared" si="3"/>
        <v>2000=&lt;3000 AZN</v>
      </c>
      <c r="J28" s="13">
        <v>2718.1</v>
      </c>
      <c r="K28" s="12" t="str">
        <f t="shared" si="4"/>
        <v>2000=&lt;3000 AZN</v>
      </c>
      <c r="L28" s="13">
        <f t="shared" si="5"/>
        <v>-674.63999999999987</v>
      </c>
      <c r="M28" s="52" t="str">
        <f t="shared" si="6"/>
        <v>menfi</v>
      </c>
      <c r="N28" s="19" t="str">
        <f t="shared" si="7"/>
        <v>Seyfəddin Mirzəyev 26535</v>
      </c>
    </row>
    <row r="29" spans="1:14" ht="14.25" customHeight="1" x14ac:dyDescent="0.25">
      <c r="A29" s="12" t="s">
        <v>74</v>
      </c>
      <c r="B29" s="12" t="s">
        <v>29</v>
      </c>
      <c r="C29" s="14">
        <v>31559</v>
      </c>
      <c r="D29" s="17">
        <f t="shared" si="1"/>
        <v>1986</v>
      </c>
      <c r="E29" s="16">
        <f t="shared" si="0"/>
        <v>39</v>
      </c>
      <c r="F29" s="12" t="str">
        <f t="shared" si="2"/>
        <v>30=&lt;40</v>
      </c>
      <c r="G29" s="12" t="s">
        <v>60</v>
      </c>
      <c r="H29" s="13">
        <v>2544.52</v>
      </c>
      <c r="I29" s="12" t="str">
        <f t="shared" si="3"/>
        <v>2000=&lt;3000 AZN</v>
      </c>
      <c r="J29" s="13">
        <v>669.14</v>
      </c>
      <c r="K29" s="12" t="str">
        <f t="shared" si="4"/>
        <v>&lt;1000 AZN</v>
      </c>
      <c r="L29" s="13">
        <f t="shared" si="5"/>
        <v>1875.38</v>
      </c>
      <c r="M29" s="52" t="str">
        <f t="shared" si="6"/>
        <v>musbet</v>
      </c>
      <c r="N29" s="19" t="str">
        <f t="shared" si="7"/>
        <v>Elnarə Bayramov 31559</v>
      </c>
    </row>
    <row r="30" spans="1:14" ht="14.25" customHeight="1" x14ac:dyDescent="0.25">
      <c r="A30" s="12" t="s">
        <v>75</v>
      </c>
      <c r="B30" s="12" t="s">
        <v>44</v>
      </c>
      <c r="C30" s="14">
        <v>31406</v>
      </c>
      <c r="D30" s="17">
        <f t="shared" si="1"/>
        <v>1985</v>
      </c>
      <c r="E30" s="16">
        <f t="shared" si="0"/>
        <v>40</v>
      </c>
      <c r="F30" s="12" t="str">
        <f t="shared" si="2"/>
        <v>40=&lt;60</v>
      </c>
      <c r="G30" s="12" t="s">
        <v>45</v>
      </c>
      <c r="H30" s="13">
        <v>2309.08</v>
      </c>
      <c r="I30" s="12" t="str">
        <f t="shared" si="3"/>
        <v>2000=&lt;3000 AZN</v>
      </c>
      <c r="J30" s="13">
        <v>3766.68</v>
      </c>
      <c r="K30" s="12" t="str">
        <f t="shared" si="4"/>
        <v>3000=&lt;4000 AZN</v>
      </c>
      <c r="L30" s="13">
        <f t="shared" si="5"/>
        <v>-1457.6</v>
      </c>
      <c r="M30" s="52" t="str">
        <f t="shared" si="6"/>
        <v>menfi</v>
      </c>
      <c r="N30" s="19" t="str">
        <f t="shared" si="7"/>
        <v>Fatma Təhmin 31406</v>
      </c>
    </row>
    <row r="31" spans="1:14" ht="14.25" customHeight="1" x14ac:dyDescent="0.25">
      <c r="A31" s="12" t="s">
        <v>76</v>
      </c>
      <c r="B31" s="12" t="s">
        <v>27</v>
      </c>
      <c r="C31" s="14">
        <v>28639</v>
      </c>
      <c r="D31" s="17">
        <f t="shared" si="1"/>
        <v>1978</v>
      </c>
      <c r="E31" s="16">
        <f t="shared" si="0"/>
        <v>47</v>
      </c>
      <c r="F31" s="12" t="str">
        <f t="shared" si="2"/>
        <v>40=&lt;60</v>
      </c>
      <c r="G31" s="12" t="s">
        <v>53</v>
      </c>
      <c r="H31" s="13">
        <v>1963.78</v>
      </c>
      <c r="I31" s="12" t="str">
        <f t="shared" si="3"/>
        <v>1000=&lt;2000 AZN</v>
      </c>
      <c r="J31" s="13">
        <v>4856.5600000000004</v>
      </c>
      <c r="K31" s="12" t="str">
        <f t="shared" si="4"/>
        <v>4000=&lt;5000 AZN</v>
      </c>
      <c r="L31" s="13">
        <f t="shared" si="5"/>
        <v>-2892.7800000000007</v>
      </c>
      <c r="M31" s="52" t="str">
        <f t="shared" si="6"/>
        <v>menfi</v>
      </c>
      <c r="N31" s="19" t="str">
        <f t="shared" si="7"/>
        <v>Hökümə Vurğun 28639</v>
      </c>
    </row>
    <row r="32" spans="1:14" ht="14.25" customHeight="1" x14ac:dyDescent="0.25">
      <c r="A32" s="12" t="s">
        <v>77</v>
      </c>
      <c r="B32" s="12" t="s">
        <v>65</v>
      </c>
      <c r="C32" s="14">
        <v>26276</v>
      </c>
      <c r="D32" s="17">
        <f t="shared" si="1"/>
        <v>1971</v>
      </c>
      <c r="E32" s="16">
        <f t="shared" si="0"/>
        <v>54</v>
      </c>
      <c r="F32" s="12" t="str">
        <f t="shared" si="2"/>
        <v>40=&lt;60</v>
      </c>
      <c r="G32" s="12" t="s">
        <v>45</v>
      </c>
      <c r="H32" s="13">
        <v>1325.33</v>
      </c>
      <c r="I32" s="12" t="str">
        <f t="shared" si="3"/>
        <v>1000=&lt;2000 AZN</v>
      </c>
      <c r="J32" s="13">
        <v>421.72</v>
      </c>
      <c r="K32" s="12" t="str">
        <f t="shared" si="4"/>
        <v>&lt;1000 AZN</v>
      </c>
      <c r="L32" s="13">
        <f t="shared" si="5"/>
        <v>903.6099999999999</v>
      </c>
      <c r="M32" s="52" t="str">
        <f t="shared" si="6"/>
        <v>musbet</v>
      </c>
      <c r="N32" s="19" t="str">
        <f t="shared" si="7"/>
        <v>İbiş Cabbarov 26276</v>
      </c>
    </row>
    <row r="33" spans="1:14" ht="14.25" customHeight="1" x14ac:dyDescent="0.25">
      <c r="A33" s="12" t="s">
        <v>78</v>
      </c>
      <c r="B33" s="12" t="s">
        <v>44</v>
      </c>
      <c r="C33" s="14">
        <v>36647</v>
      </c>
      <c r="D33" s="17">
        <f t="shared" si="1"/>
        <v>2000</v>
      </c>
      <c r="E33" s="16">
        <f t="shared" si="0"/>
        <v>25</v>
      </c>
      <c r="F33" s="12" t="str">
        <f t="shared" si="2"/>
        <v>20=&lt;30</v>
      </c>
      <c r="G33" s="12" t="s">
        <v>42</v>
      </c>
      <c r="H33" s="13">
        <v>4706.74</v>
      </c>
      <c r="I33" s="12" t="str">
        <f t="shared" si="3"/>
        <v>4000=&lt;5000 AZN</v>
      </c>
      <c r="J33" s="13">
        <v>3007.91</v>
      </c>
      <c r="K33" s="12" t="str">
        <f t="shared" si="4"/>
        <v>3000=&lt;4000 AZN</v>
      </c>
      <c r="L33" s="13">
        <f t="shared" si="5"/>
        <v>1698.83</v>
      </c>
      <c r="M33" s="52" t="str">
        <f t="shared" si="6"/>
        <v>musbet</v>
      </c>
      <c r="N33" s="19" t="str">
        <f t="shared" si="7"/>
        <v>Tofiq Təhmin 36647</v>
      </c>
    </row>
    <row r="34" spans="1:14" ht="14.25" customHeight="1" x14ac:dyDescent="0.25">
      <c r="A34" s="12" t="s">
        <v>79</v>
      </c>
      <c r="B34" s="12" t="s">
        <v>30</v>
      </c>
      <c r="C34" s="14">
        <v>24341</v>
      </c>
      <c r="D34" s="17">
        <f t="shared" si="1"/>
        <v>1966</v>
      </c>
      <c r="E34" s="16">
        <f t="shared" si="0"/>
        <v>59</v>
      </c>
      <c r="F34" s="12" t="str">
        <f t="shared" si="2"/>
        <v>40=&lt;60</v>
      </c>
      <c r="G34" s="12" t="s">
        <v>53</v>
      </c>
      <c r="H34" s="13">
        <v>4499.5</v>
      </c>
      <c r="I34" s="12" t="str">
        <f t="shared" si="3"/>
        <v>4000=&lt;5000 AZN</v>
      </c>
      <c r="J34" s="13">
        <v>4946.8100000000004</v>
      </c>
      <c r="K34" s="12" t="str">
        <f t="shared" si="4"/>
        <v>4000=&lt;5000 AZN</v>
      </c>
      <c r="L34" s="13">
        <f t="shared" si="5"/>
        <v>-447.3100000000004</v>
      </c>
      <c r="M34" s="52" t="str">
        <f t="shared" si="6"/>
        <v>menfi</v>
      </c>
      <c r="N34" s="19" t="str">
        <f t="shared" si="7"/>
        <v>Aynurə Bəktaşi 24341</v>
      </c>
    </row>
    <row r="35" spans="1:14" ht="14.25" customHeight="1" x14ac:dyDescent="0.25">
      <c r="A35" s="12" t="s">
        <v>80</v>
      </c>
      <c r="B35" s="12" t="s">
        <v>65</v>
      </c>
      <c r="C35" s="14">
        <v>26460</v>
      </c>
      <c r="D35" s="17">
        <f t="shared" si="1"/>
        <v>1972</v>
      </c>
      <c r="E35" s="16">
        <f t="shared" si="0"/>
        <v>53</v>
      </c>
      <c r="F35" s="12" t="str">
        <f t="shared" si="2"/>
        <v>40=&lt;60</v>
      </c>
      <c r="G35" s="12" t="s">
        <v>58</v>
      </c>
      <c r="H35" s="13">
        <v>2874.48</v>
      </c>
      <c r="I35" s="12" t="str">
        <f t="shared" si="3"/>
        <v>2000=&lt;3000 AZN</v>
      </c>
      <c r="J35" s="13">
        <v>1129.71</v>
      </c>
      <c r="K35" s="12" t="str">
        <f t="shared" si="4"/>
        <v>1000=&lt;2000 AZN</v>
      </c>
      <c r="L35" s="13">
        <f t="shared" si="5"/>
        <v>1744.77</v>
      </c>
      <c r="M35" s="52" t="str">
        <f t="shared" si="6"/>
        <v>musbet</v>
      </c>
      <c r="N35" s="19" t="str">
        <f t="shared" si="7"/>
        <v>Lətafət Cabbarov 26460</v>
      </c>
    </row>
    <row r="36" spans="1:14" ht="14.25" customHeight="1" x14ac:dyDescent="0.25">
      <c r="A36" s="12" t="s">
        <v>81</v>
      </c>
      <c r="B36" s="12" t="s">
        <v>48</v>
      </c>
      <c r="C36" s="14">
        <v>31706</v>
      </c>
      <c r="D36" s="17">
        <f t="shared" si="1"/>
        <v>1986</v>
      </c>
      <c r="E36" s="16">
        <f t="shared" si="0"/>
        <v>39</v>
      </c>
      <c r="F36" s="12" t="str">
        <f t="shared" si="2"/>
        <v>30=&lt;40</v>
      </c>
      <c r="G36" s="12" t="s">
        <v>58</v>
      </c>
      <c r="H36" s="13">
        <v>1548.06</v>
      </c>
      <c r="I36" s="12" t="str">
        <f t="shared" si="3"/>
        <v>1000=&lt;2000 AZN</v>
      </c>
      <c r="J36" s="13">
        <v>3080.22</v>
      </c>
      <c r="K36" s="12" t="str">
        <f t="shared" si="4"/>
        <v>3000=&lt;4000 AZN</v>
      </c>
      <c r="L36" s="13">
        <f t="shared" si="5"/>
        <v>-1532.1599999999999</v>
      </c>
      <c r="M36" s="52" t="str">
        <f t="shared" si="6"/>
        <v>menfi</v>
      </c>
      <c r="N36" s="19" t="str">
        <f t="shared" si="7"/>
        <v>Fəxri Abbasbəyli 31706</v>
      </c>
    </row>
    <row r="37" spans="1:14" ht="14.25" customHeight="1" x14ac:dyDescent="0.25">
      <c r="A37" s="12" t="s">
        <v>82</v>
      </c>
      <c r="B37" s="12" t="s">
        <v>29</v>
      </c>
      <c r="C37" s="14">
        <v>28009</v>
      </c>
      <c r="D37" s="17">
        <f t="shared" si="1"/>
        <v>1976</v>
      </c>
      <c r="E37" s="16">
        <f t="shared" si="0"/>
        <v>49</v>
      </c>
      <c r="F37" s="12" t="str">
        <f t="shared" si="2"/>
        <v>40=&lt;60</v>
      </c>
      <c r="G37" s="12" t="s">
        <v>63</v>
      </c>
      <c r="H37" s="13">
        <v>2399.77</v>
      </c>
      <c r="I37" s="12" t="str">
        <f t="shared" si="3"/>
        <v>2000=&lt;3000 AZN</v>
      </c>
      <c r="J37" s="13">
        <v>3456.89</v>
      </c>
      <c r="K37" s="12" t="str">
        <f t="shared" si="4"/>
        <v>3000=&lt;4000 AZN</v>
      </c>
      <c r="L37" s="13">
        <f t="shared" si="5"/>
        <v>-1057.1199999999999</v>
      </c>
      <c r="M37" s="52" t="str">
        <f t="shared" si="6"/>
        <v>menfi</v>
      </c>
      <c r="N37" s="19" t="str">
        <f t="shared" si="7"/>
        <v>Mahizər Bayramov 28009</v>
      </c>
    </row>
    <row r="38" spans="1:14" ht="14.25" customHeight="1" x14ac:dyDescent="0.25">
      <c r="A38" s="12" t="s">
        <v>83</v>
      </c>
      <c r="B38" s="12" t="s">
        <v>30</v>
      </c>
      <c r="C38" s="14">
        <v>32542</v>
      </c>
      <c r="D38" s="17">
        <f t="shared" si="1"/>
        <v>1989</v>
      </c>
      <c r="E38" s="16">
        <f t="shared" si="0"/>
        <v>36</v>
      </c>
      <c r="F38" s="12" t="str">
        <f t="shared" si="2"/>
        <v>30=&lt;40</v>
      </c>
      <c r="G38" s="12" t="s">
        <v>49</v>
      </c>
      <c r="H38" s="13">
        <v>3921.75</v>
      </c>
      <c r="I38" s="12" t="str">
        <f t="shared" si="3"/>
        <v>3000=&lt;4000 AZN</v>
      </c>
      <c r="J38" s="13">
        <v>4664.4399999999996</v>
      </c>
      <c r="K38" s="12" t="str">
        <f t="shared" si="4"/>
        <v>4000=&lt;5000 AZN</v>
      </c>
      <c r="L38" s="13">
        <f t="shared" si="5"/>
        <v>-742.6899999999996</v>
      </c>
      <c r="M38" s="52" t="str">
        <f t="shared" si="6"/>
        <v>menfi</v>
      </c>
      <c r="N38" s="19" t="str">
        <f t="shared" si="7"/>
        <v>Qulam Bəktaşi 32542</v>
      </c>
    </row>
    <row r="39" spans="1:14" ht="14.25" customHeight="1" x14ac:dyDescent="0.25">
      <c r="A39" s="12" t="s">
        <v>84</v>
      </c>
      <c r="B39" s="12" t="s">
        <v>27</v>
      </c>
      <c r="C39" s="14">
        <v>27706</v>
      </c>
      <c r="D39" s="17">
        <f t="shared" si="1"/>
        <v>1975</v>
      </c>
      <c r="E39" s="16">
        <f t="shared" si="0"/>
        <v>50</v>
      </c>
      <c r="F39" s="12" t="str">
        <f t="shared" si="2"/>
        <v>40=&lt;60</v>
      </c>
      <c r="G39" s="12" t="s">
        <v>66</v>
      </c>
      <c r="H39" s="13">
        <v>1420.83</v>
      </c>
      <c r="I39" s="12" t="str">
        <f t="shared" si="3"/>
        <v>1000=&lt;2000 AZN</v>
      </c>
      <c r="J39" s="13">
        <v>3703.68</v>
      </c>
      <c r="K39" s="12" t="str">
        <f t="shared" si="4"/>
        <v>3000=&lt;4000 AZN</v>
      </c>
      <c r="L39" s="13">
        <f t="shared" si="5"/>
        <v>-2282.85</v>
      </c>
      <c r="M39" s="52" t="str">
        <f t="shared" si="6"/>
        <v>menfi</v>
      </c>
      <c r="N39" s="19" t="str">
        <f t="shared" si="7"/>
        <v>Bayram Vurğun 27706</v>
      </c>
    </row>
    <row r="40" spans="1:14" ht="14.25" customHeight="1" x14ac:dyDescent="0.25">
      <c r="A40" s="12" t="s">
        <v>85</v>
      </c>
      <c r="B40" s="12" t="s">
        <v>44</v>
      </c>
      <c r="C40" s="14">
        <v>33633</v>
      </c>
      <c r="D40" s="17">
        <f t="shared" si="1"/>
        <v>1992</v>
      </c>
      <c r="E40" s="16">
        <f t="shared" si="0"/>
        <v>33</v>
      </c>
      <c r="F40" s="12" t="str">
        <f t="shared" si="2"/>
        <v>30=&lt;40</v>
      </c>
      <c r="G40" s="12" t="s">
        <v>45</v>
      </c>
      <c r="H40" s="13">
        <v>1238.0899999999999</v>
      </c>
      <c r="I40" s="12" t="str">
        <f t="shared" si="3"/>
        <v>1000=&lt;2000 AZN</v>
      </c>
      <c r="J40" s="13">
        <v>4207.67</v>
      </c>
      <c r="K40" s="12" t="str">
        <f t="shared" si="4"/>
        <v>4000=&lt;5000 AZN</v>
      </c>
      <c r="L40" s="13">
        <f t="shared" si="5"/>
        <v>-2969.58</v>
      </c>
      <c r="M40" s="52" t="str">
        <f t="shared" si="6"/>
        <v>menfi</v>
      </c>
      <c r="N40" s="19" t="str">
        <f t="shared" si="7"/>
        <v>Nərgiz Təhmin 33633</v>
      </c>
    </row>
    <row r="41" spans="1:14" ht="14.25" customHeight="1" x14ac:dyDescent="0.25">
      <c r="A41" s="12" t="s">
        <v>86</v>
      </c>
      <c r="B41" s="12" t="s">
        <v>44</v>
      </c>
      <c r="C41" s="14">
        <v>26480</v>
      </c>
      <c r="D41" s="17">
        <f t="shared" si="1"/>
        <v>1972</v>
      </c>
      <c r="E41" s="16">
        <f t="shared" si="0"/>
        <v>53</v>
      </c>
      <c r="F41" s="12" t="str">
        <f t="shared" si="2"/>
        <v>40=&lt;60</v>
      </c>
      <c r="G41" s="12" t="s">
        <v>58</v>
      </c>
      <c r="H41" s="13">
        <v>3841.09</v>
      </c>
      <c r="I41" s="12" t="str">
        <f t="shared" si="3"/>
        <v>3000=&lt;4000 AZN</v>
      </c>
      <c r="J41" s="13">
        <v>4212.07</v>
      </c>
      <c r="K41" s="12" t="str">
        <f t="shared" si="4"/>
        <v>4000=&lt;5000 AZN</v>
      </c>
      <c r="L41" s="13">
        <f t="shared" si="5"/>
        <v>-370.97999999999956</v>
      </c>
      <c r="M41" s="52" t="str">
        <f t="shared" si="6"/>
        <v>menfi</v>
      </c>
      <c r="N41" s="19" t="str">
        <f t="shared" si="7"/>
        <v>Qiyas Təhmin 26480</v>
      </c>
    </row>
    <row r="42" spans="1:14" ht="14.25" customHeight="1" x14ac:dyDescent="0.25">
      <c r="A42" s="12" t="s">
        <v>87</v>
      </c>
      <c r="B42" s="12" t="s">
        <v>56</v>
      </c>
      <c r="C42" s="14">
        <v>35366</v>
      </c>
      <c r="D42" s="17">
        <f t="shared" si="1"/>
        <v>1996</v>
      </c>
      <c r="E42" s="16">
        <f t="shared" si="0"/>
        <v>29</v>
      </c>
      <c r="F42" s="12" t="str">
        <f t="shared" si="2"/>
        <v>20=&lt;30</v>
      </c>
      <c r="G42" s="12" t="s">
        <v>42</v>
      </c>
      <c r="H42" s="13">
        <v>2501.52</v>
      </c>
      <c r="I42" s="12" t="str">
        <f t="shared" si="3"/>
        <v>2000=&lt;3000 AZN</v>
      </c>
      <c r="J42" s="13">
        <v>2476.85</v>
      </c>
      <c r="K42" s="12" t="str">
        <f t="shared" si="4"/>
        <v>2000=&lt;3000 AZN</v>
      </c>
      <c r="L42" s="13">
        <f t="shared" si="5"/>
        <v>24.670000000000073</v>
      </c>
      <c r="M42" s="52" t="str">
        <f t="shared" si="6"/>
        <v>musbet</v>
      </c>
      <c r="N42" s="19" t="str">
        <f t="shared" si="7"/>
        <v>Arifə Talıbzadə 35366</v>
      </c>
    </row>
    <row r="43" spans="1:14" ht="14.25" customHeight="1" x14ac:dyDescent="0.25">
      <c r="A43" s="12" t="s">
        <v>88</v>
      </c>
      <c r="B43" s="12" t="s">
        <v>39</v>
      </c>
      <c r="C43" s="14">
        <v>23938</v>
      </c>
      <c r="D43" s="17">
        <f t="shared" si="1"/>
        <v>1965</v>
      </c>
      <c r="E43" s="16">
        <f t="shared" si="0"/>
        <v>60</v>
      </c>
      <c r="F43" s="12" t="str">
        <f t="shared" si="2"/>
        <v>60=&lt;</v>
      </c>
      <c r="G43" s="12" t="s">
        <v>53</v>
      </c>
      <c r="H43" s="13">
        <v>498.3</v>
      </c>
      <c r="I43" s="12" t="str">
        <f t="shared" si="3"/>
        <v>&lt;1000 AZN</v>
      </c>
      <c r="J43" s="13">
        <v>4496.38</v>
      </c>
      <c r="K43" s="12" t="str">
        <f t="shared" si="4"/>
        <v>4000=&lt;5000 AZN</v>
      </c>
      <c r="L43" s="13">
        <f t="shared" si="5"/>
        <v>-3998.08</v>
      </c>
      <c r="M43" s="52" t="str">
        <f t="shared" si="6"/>
        <v>menfi</v>
      </c>
      <c r="N43" s="19" t="str">
        <f t="shared" si="7"/>
        <v>Cavid Düzgün 23938</v>
      </c>
    </row>
    <row r="44" spans="1:14" ht="14.25" customHeight="1" x14ac:dyDescent="0.25">
      <c r="A44" s="12" t="s">
        <v>89</v>
      </c>
      <c r="B44" s="12" t="s">
        <v>26</v>
      </c>
      <c r="C44" s="14">
        <v>32449</v>
      </c>
      <c r="D44" s="17">
        <f t="shared" si="1"/>
        <v>1988</v>
      </c>
      <c r="E44" s="16">
        <f t="shared" si="0"/>
        <v>37</v>
      </c>
      <c r="F44" s="12" t="str">
        <f t="shared" si="2"/>
        <v>30=&lt;40</v>
      </c>
      <c r="G44" s="12" t="s">
        <v>42</v>
      </c>
      <c r="H44" s="13">
        <v>2029.66</v>
      </c>
      <c r="I44" s="12" t="str">
        <f t="shared" si="3"/>
        <v>2000=&lt;3000 AZN</v>
      </c>
      <c r="J44" s="13">
        <v>674.67</v>
      </c>
      <c r="K44" s="12" t="str">
        <f t="shared" si="4"/>
        <v>&lt;1000 AZN</v>
      </c>
      <c r="L44" s="13">
        <f t="shared" si="5"/>
        <v>1354.9900000000002</v>
      </c>
      <c r="M44" s="52" t="str">
        <f t="shared" si="6"/>
        <v>musbet</v>
      </c>
      <c r="N44" s="19" t="str">
        <f t="shared" si="7"/>
        <v>Aybəniz Həsənli 32449</v>
      </c>
    </row>
    <row r="45" spans="1:14" ht="14.25" customHeight="1" x14ac:dyDescent="0.25">
      <c r="A45" s="12" t="s">
        <v>90</v>
      </c>
      <c r="B45" s="12" t="s">
        <v>29</v>
      </c>
      <c r="C45" s="14">
        <v>29016</v>
      </c>
      <c r="D45" s="17">
        <f t="shared" si="1"/>
        <v>1979</v>
      </c>
      <c r="E45" s="16">
        <f t="shared" si="0"/>
        <v>46</v>
      </c>
      <c r="F45" s="12" t="str">
        <f t="shared" si="2"/>
        <v>40=&lt;60</v>
      </c>
      <c r="G45" s="12" t="s">
        <v>66</v>
      </c>
      <c r="H45" s="13">
        <v>4365.53</v>
      </c>
      <c r="I45" s="12" t="str">
        <f t="shared" si="3"/>
        <v>4000=&lt;5000 AZN</v>
      </c>
      <c r="J45" s="13">
        <v>2942.19</v>
      </c>
      <c r="K45" s="12" t="str">
        <f t="shared" si="4"/>
        <v>2000=&lt;3000 AZN</v>
      </c>
      <c r="L45" s="13">
        <f t="shared" si="5"/>
        <v>1423.3399999999997</v>
      </c>
      <c r="M45" s="52" t="str">
        <f t="shared" si="6"/>
        <v>musbet</v>
      </c>
      <c r="N45" s="19" t="str">
        <f t="shared" si="7"/>
        <v>Firəngiz Bayramov 29016</v>
      </c>
    </row>
    <row r="46" spans="1:14" ht="14.25" customHeight="1" x14ac:dyDescent="0.25">
      <c r="A46" s="12" t="s">
        <v>91</v>
      </c>
      <c r="B46" s="12" t="s">
        <v>27</v>
      </c>
      <c r="C46" s="14">
        <v>22719</v>
      </c>
      <c r="D46" s="17">
        <f t="shared" si="1"/>
        <v>1962</v>
      </c>
      <c r="E46" s="16">
        <f t="shared" si="0"/>
        <v>63</v>
      </c>
      <c r="F46" s="12" t="str">
        <f t="shared" si="2"/>
        <v>60=&lt;</v>
      </c>
      <c r="G46" s="12" t="s">
        <v>66</v>
      </c>
      <c r="H46" s="13">
        <v>2954.42</v>
      </c>
      <c r="I46" s="12" t="str">
        <f t="shared" si="3"/>
        <v>2000=&lt;3000 AZN</v>
      </c>
      <c r="J46" s="13">
        <v>1014.66</v>
      </c>
      <c r="K46" s="12" t="str">
        <f t="shared" si="4"/>
        <v>1000=&lt;2000 AZN</v>
      </c>
      <c r="L46" s="13">
        <f t="shared" si="5"/>
        <v>1939.7600000000002</v>
      </c>
      <c r="M46" s="52" t="str">
        <f t="shared" si="6"/>
        <v>musbet</v>
      </c>
      <c r="N46" s="19" t="str">
        <f t="shared" si="7"/>
        <v>Əmir Vurğun 22719</v>
      </c>
    </row>
    <row r="47" spans="1:14" ht="14.25" customHeight="1" x14ac:dyDescent="0.25">
      <c r="A47" s="12" t="s">
        <v>92</v>
      </c>
      <c r="B47" s="12" t="s">
        <v>27</v>
      </c>
      <c r="C47" s="14">
        <v>28181</v>
      </c>
      <c r="D47" s="17">
        <f t="shared" si="1"/>
        <v>1977</v>
      </c>
      <c r="E47" s="16">
        <f t="shared" si="0"/>
        <v>48</v>
      </c>
      <c r="F47" s="12" t="str">
        <f t="shared" si="2"/>
        <v>40=&lt;60</v>
      </c>
      <c r="G47" s="12" t="s">
        <v>53</v>
      </c>
      <c r="H47" s="13">
        <v>385.54</v>
      </c>
      <c r="I47" s="12" t="str">
        <f t="shared" si="3"/>
        <v>&lt;1000 AZN</v>
      </c>
      <c r="J47" s="13">
        <v>2675.13</v>
      </c>
      <c r="K47" s="12" t="str">
        <f t="shared" si="4"/>
        <v>2000=&lt;3000 AZN</v>
      </c>
      <c r="L47" s="13">
        <f t="shared" si="5"/>
        <v>-2289.59</v>
      </c>
      <c r="M47" s="52" t="str">
        <f t="shared" si="6"/>
        <v>menfi</v>
      </c>
      <c r="N47" s="19" t="str">
        <f t="shared" si="7"/>
        <v>Elnurə Vurğun 28181</v>
      </c>
    </row>
    <row r="48" spans="1:14" ht="14.25" customHeight="1" x14ac:dyDescent="0.25">
      <c r="A48" s="12" t="s">
        <v>93</v>
      </c>
      <c r="B48" s="12" t="s">
        <v>56</v>
      </c>
      <c r="C48" s="14">
        <v>24499</v>
      </c>
      <c r="D48" s="17">
        <f t="shared" si="1"/>
        <v>1967</v>
      </c>
      <c r="E48" s="16">
        <f t="shared" si="0"/>
        <v>58</v>
      </c>
      <c r="F48" s="12" t="str">
        <f t="shared" si="2"/>
        <v>40=&lt;60</v>
      </c>
      <c r="G48" s="12" t="s">
        <v>63</v>
      </c>
      <c r="H48" s="13">
        <v>4572.95</v>
      </c>
      <c r="I48" s="12" t="str">
        <f t="shared" si="3"/>
        <v>4000=&lt;5000 AZN</v>
      </c>
      <c r="J48" s="13">
        <v>631.16999999999996</v>
      </c>
      <c r="K48" s="12" t="str">
        <f t="shared" si="4"/>
        <v>&lt;1000 AZN</v>
      </c>
      <c r="L48" s="13">
        <f t="shared" si="5"/>
        <v>3941.7799999999997</v>
      </c>
      <c r="M48" s="52" t="str">
        <f t="shared" si="6"/>
        <v>musbet</v>
      </c>
      <c r="N48" s="19" t="str">
        <f t="shared" si="7"/>
        <v>Seymur Talıbzadə 24499</v>
      </c>
    </row>
    <row r="49" spans="1:14" ht="14.25" customHeight="1" x14ac:dyDescent="0.25">
      <c r="A49" s="12" t="s">
        <v>94</v>
      </c>
      <c r="B49" s="12" t="s">
        <v>29</v>
      </c>
      <c r="C49" s="14">
        <v>25225</v>
      </c>
      <c r="D49" s="17">
        <f t="shared" si="1"/>
        <v>1969</v>
      </c>
      <c r="E49" s="16">
        <f t="shared" si="0"/>
        <v>56</v>
      </c>
      <c r="F49" s="12" t="str">
        <f t="shared" si="2"/>
        <v>40=&lt;60</v>
      </c>
      <c r="G49" s="12" t="s">
        <v>66</v>
      </c>
      <c r="H49" s="13">
        <v>3168.22</v>
      </c>
      <c r="I49" s="12" t="str">
        <f t="shared" si="3"/>
        <v>3000=&lt;4000 AZN</v>
      </c>
      <c r="J49" s="13">
        <v>3860.09</v>
      </c>
      <c r="K49" s="12" t="str">
        <f t="shared" si="4"/>
        <v>3000=&lt;4000 AZN</v>
      </c>
      <c r="L49" s="13">
        <f t="shared" si="5"/>
        <v>-691.87000000000035</v>
      </c>
      <c r="M49" s="52" t="str">
        <f t="shared" si="6"/>
        <v>menfi</v>
      </c>
      <c r="N49" s="19" t="str">
        <f t="shared" si="7"/>
        <v>Qələndər Bayramov 25225</v>
      </c>
    </row>
    <row r="50" spans="1:14" ht="14.25" customHeight="1" x14ac:dyDescent="0.25">
      <c r="A50" s="12" t="s">
        <v>95</v>
      </c>
      <c r="B50" s="12" t="s">
        <v>29</v>
      </c>
      <c r="C50" s="14">
        <v>34286</v>
      </c>
      <c r="D50" s="17">
        <f t="shared" si="1"/>
        <v>1993</v>
      </c>
      <c r="E50" s="16">
        <f t="shared" si="0"/>
        <v>32</v>
      </c>
      <c r="F50" s="12" t="str">
        <f t="shared" si="2"/>
        <v>30=&lt;40</v>
      </c>
      <c r="G50" s="12" t="s">
        <v>45</v>
      </c>
      <c r="H50" s="13">
        <v>1183.68</v>
      </c>
      <c r="I50" s="12" t="str">
        <f t="shared" si="3"/>
        <v>1000=&lt;2000 AZN</v>
      </c>
      <c r="J50" s="13">
        <v>3715.61</v>
      </c>
      <c r="K50" s="12" t="str">
        <f t="shared" si="4"/>
        <v>3000=&lt;4000 AZN</v>
      </c>
      <c r="L50" s="13">
        <f t="shared" si="5"/>
        <v>-2531.9300000000003</v>
      </c>
      <c r="M50" s="52" t="str">
        <f t="shared" si="6"/>
        <v>menfi</v>
      </c>
      <c r="N50" s="19" t="str">
        <f t="shared" si="7"/>
        <v>Teymurçin Bayramov 34286</v>
      </c>
    </row>
    <row r="51" spans="1:14" ht="14.25" customHeight="1" x14ac:dyDescent="0.25">
      <c r="A51" s="12" t="s">
        <v>96</v>
      </c>
      <c r="B51" s="12" t="s">
        <v>27</v>
      </c>
      <c r="C51" s="14">
        <v>34332</v>
      </c>
      <c r="D51" s="17">
        <f t="shared" si="1"/>
        <v>1993</v>
      </c>
      <c r="E51" s="16">
        <f t="shared" si="0"/>
        <v>32</v>
      </c>
      <c r="F51" s="12" t="str">
        <f t="shared" si="2"/>
        <v>30=&lt;40</v>
      </c>
      <c r="G51" s="12" t="s">
        <v>51</v>
      </c>
      <c r="H51" s="13">
        <v>551.75</v>
      </c>
      <c r="I51" s="12" t="str">
        <f t="shared" si="3"/>
        <v>&lt;1000 AZN</v>
      </c>
      <c r="J51" s="13">
        <v>535.42999999999995</v>
      </c>
      <c r="K51" s="12" t="str">
        <f t="shared" si="4"/>
        <v>&lt;1000 AZN</v>
      </c>
      <c r="L51" s="13">
        <f t="shared" si="5"/>
        <v>16.32000000000005</v>
      </c>
      <c r="M51" s="52" t="str">
        <f t="shared" si="6"/>
        <v>musbet</v>
      </c>
      <c r="N51" s="19" t="str">
        <f t="shared" si="7"/>
        <v>İbrahim Vurğun 34332</v>
      </c>
    </row>
    <row r="52" spans="1:14" ht="14.25" customHeight="1" x14ac:dyDescent="0.25">
      <c r="A52" s="12" t="s">
        <v>97</v>
      </c>
      <c r="B52" s="12" t="s">
        <v>28</v>
      </c>
      <c r="C52" s="14">
        <v>27663</v>
      </c>
      <c r="D52" s="17">
        <f t="shared" si="1"/>
        <v>1975</v>
      </c>
      <c r="E52" s="16">
        <f t="shared" si="0"/>
        <v>50</v>
      </c>
      <c r="F52" s="12" t="str">
        <f t="shared" si="2"/>
        <v>40=&lt;60</v>
      </c>
      <c r="G52" s="12" t="s">
        <v>53</v>
      </c>
      <c r="H52" s="13">
        <v>3371.09</v>
      </c>
      <c r="I52" s="12" t="str">
        <f t="shared" si="3"/>
        <v>3000=&lt;4000 AZN</v>
      </c>
      <c r="J52" s="13">
        <v>4800.4799999999996</v>
      </c>
      <c r="K52" s="12" t="str">
        <f t="shared" si="4"/>
        <v>4000=&lt;5000 AZN</v>
      </c>
      <c r="L52" s="13">
        <f t="shared" si="5"/>
        <v>-1429.3899999999994</v>
      </c>
      <c r="M52" s="52" t="str">
        <f t="shared" si="6"/>
        <v>menfi</v>
      </c>
      <c r="N52" s="19" t="str">
        <f t="shared" si="7"/>
        <v>Elmir Mirzəyev 27663</v>
      </c>
    </row>
    <row r="53" spans="1:14" ht="14.25" customHeight="1" x14ac:dyDescent="0.25">
      <c r="A53" s="12" t="s">
        <v>98</v>
      </c>
      <c r="B53" s="12" t="s">
        <v>39</v>
      </c>
      <c r="C53" s="14">
        <v>34617</v>
      </c>
      <c r="D53" s="17">
        <f t="shared" si="1"/>
        <v>1994</v>
      </c>
      <c r="E53" s="16">
        <f t="shared" si="0"/>
        <v>31</v>
      </c>
      <c r="F53" s="12" t="str">
        <f t="shared" si="2"/>
        <v>30=&lt;40</v>
      </c>
      <c r="G53" s="12" t="s">
        <v>58</v>
      </c>
      <c r="H53" s="13">
        <v>1605.33</v>
      </c>
      <c r="I53" s="12" t="str">
        <f t="shared" si="3"/>
        <v>1000=&lt;2000 AZN</v>
      </c>
      <c r="J53" s="13">
        <v>858.83</v>
      </c>
      <c r="K53" s="12" t="str">
        <f t="shared" si="4"/>
        <v>&lt;1000 AZN</v>
      </c>
      <c r="L53" s="13">
        <f t="shared" si="5"/>
        <v>746.49999999999989</v>
      </c>
      <c r="M53" s="52" t="str">
        <f t="shared" si="6"/>
        <v>musbet</v>
      </c>
      <c r="N53" s="19" t="str">
        <f t="shared" si="7"/>
        <v>Ağasəfa Düzgün 34617</v>
      </c>
    </row>
    <row r="54" spans="1:14" ht="14.25" customHeight="1" x14ac:dyDescent="0.25">
      <c r="A54" s="12" t="s">
        <v>99</v>
      </c>
      <c r="B54" s="12" t="s">
        <v>26</v>
      </c>
      <c r="C54" s="14">
        <v>23077</v>
      </c>
      <c r="D54" s="17">
        <f t="shared" si="1"/>
        <v>1963</v>
      </c>
      <c r="E54" s="16">
        <f t="shared" si="0"/>
        <v>62</v>
      </c>
      <c r="F54" s="12" t="str">
        <f t="shared" si="2"/>
        <v>60=&lt;</v>
      </c>
      <c r="G54" s="12" t="s">
        <v>53</v>
      </c>
      <c r="H54" s="13">
        <v>2872.11</v>
      </c>
      <c r="I54" s="12" t="str">
        <f t="shared" si="3"/>
        <v>2000=&lt;3000 AZN</v>
      </c>
      <c r="J54" s="13">
        <v>2934.83</v>
      </c>
      <c r="K54" s="12" t="str">
        <f t="shared" si="4"/>
        <v>2000=&lt;3000 AZN</v>
      </c>
      <c r="L54" s="13">
        <f t="shared" si="5"/>
        <v>-62.7199999999998</v>
      </c>
      <c r="M54" s="52" t="str">
        <f t="shared" si="6"/>
        <v>menfi</v>
      </c>
      <c r="N54" s="19" t="str">
        <f t="shared" si="7"/>
        <v>İntizar Həsənli 23077</v>
      </c>
    </row>
    <row r="55" spans="1:14" ht="14.25" customHeight="1" x14ac:dyDescent="0.25">
      <c r="A55" s="12" t="s">
        <v>100</v>
      </c>
      <c r="B55" s="12" t="s">
        <v>39</v>
      </c>
      <c r="C55" s="14">
        <v>22785</v>
      </c>
      <c r="D55" s="17">
        <f t="shared" si="1"/>
        <v>1962</v>
      </c>
      <c r="E55" s="16">
        <f t="shared" si="0"/>
        <v>63</v>
      </c>
      <c r="F55" s="12" t="str">
        <f t="shared" si="2"/>
        <v>60=&lt;</v>
      </c>
      <c r="G55" s="12" t="s">
        <v>42</v>
      </c>
      <c r="H55" s="13">
        <v>1340.93</v>
      </c>
      <c r="I55" s="12" t="str">
        <f t="shared" si="3"/>
        <v>1000=&lt;2000 AZN</v>
      </c>
      <c r="J55" s="13">
        <v>3399.94</v>
      </c>
      <c r="K55" s="12" t="str">
        <f t="shared" si="4"/>
        <v>3000=&lt;4000 AZN</v>
      </c>
      <c r="L55" s="13">
        <f t="shared" si="5"/>
        <v>-2059.0100000000002</v>
      </c>
      <c r="M55" s="52" t="str">
        <f t="shared" si="6"/>
        <v>menfi</v>
      </c>
      <c r="N55" s="19" t="str">
        <f t="shared" si="7"/>
        <v>İlkin Düzgün 22785</v>
      </c>
    </row>
    <row r="56" spans="1:14" ht="14.25" customHeight="1" x14ac:dyDescent="0.25">
      <c r="A56" s="12" t="s">
        <v>101</v>
      </c>
      <c r="B56" s="12" t="s">
        <v>56</v>
      </c>
      <c r="C56" s="14">
        <v>25449</v>
      </c>
      <c r="D56" s="17">
        <f t="shared" si="1"/>
        <v>1969</v>
      </c>
      <c r="E56" s="16">
        <f t="shared" si="0"/>
        <v>56</v>
      </c>
      <c r="F56" s="12" t="str">
        <f t="shared" si="2"/>
        <v>40=&lt;60</v>
      </c>
      <c r="G56" s="12" t="s">
        <v>66</v>
      </c>
      <c r="H56" s="13">
        <v>1054.32</v>
      </c>
      <c r="I56" s="12" t="str">
        <f t="shared" si="3"/>
        <v>1000=&lt;2000 AZN</v>
      </c>
      <c r="J56" s="13">
        <v>3003.9</v>
      </c>
      <c r="K56" s="12" t="str">
        <f t="shared" si="4"/>
        <v>3000=&lt;4000 AZN</v>
      </c>
      <c r="L56" s="13">
        <f t="shared" si="5"/>
        <v>-1949.5800000000002</v>
      </c>
      <c r="M56" s="52" t="str">
        <f t="shared" si="6"/>
        <v>menfi</v>
      </c>
      <c r="N56" s="19" t="str">
        <f t="shared" si="7"/>
        <v>Mürsəl Talıbzadə 25449</v>
      </c>
    </row>
    <row r="57" spans="1:14" ht="14.25" customHeight="1" x14ac:dyDescent="0.25">
      <c r="A57" s="12" t="s">
        <v>102</v>
      </c>
      <c r="B57" s="12" t="s">
        <v>65</v>
      </c>
      <c r="C57" s="14">
        <v>29495</v>
      </c>
      <c r="D57" s="17">
        <f t="shared" si="1"/>
        <v>1980</v>
      </c>
      <c r="E57" s="16">
        <f t="shared" si="0"/>
        <v>45</v>
      </c>
      <c r="F57" s="12" t="str">
        <f t="shared" si="2"/>
        <v>40=&lt;60</v>
      </c>
      <c r="G57" s="12" t="s">
        <v>66</v>
      </c>
      <c r="H57" s="13">
        <v>4544.87</v>
      </c>
      <c r="I57" s="12" t="str">
        <f t="shared" si="3"/>
        <v>4000=&lt;5000 AZN</v>
      </c>
      <c r="J57" s="13">
        <v>4017.58</v>
      </c>
      <c r="K57" s="12" t="str">
        <f t="shared" si="4"/>
        <v>4000=&lt;5000 AZN</v>
      </c>
      <c r="L57" s="13">
        <f t="shared" si="5"/>
        <v>527.29</v>
      </c>
      <c r="M57" s="52" t="str">
        <f t="shared" si="6"/>
        <v>musbet</v>
      </c>
      <c r="N57" s="19" t="str">
        <f t="shared" si="7"/>
        <v>Atabala Cabbarov 29495</v>
      </c>
    </row>
    <row r="58" spans="1:14" ht="14.25" customHeight="1" x14ac:dyDescent="0.25">
      <c r="A58" s="12" t="s">
        <v>103</v>
      </c>
      <c r="B58" s="12" t="s">
        <v>26</v>
      </c>
      <c r="C58" s="14">
        <v>34778</v>
      </c>
      <c r="D58" s="17">
        <f t="shared" si="1"/>
        <v>1995</v>
      </c>
      <c r="E58" s="16">
        <f t="shared" si="0"/>
        <v>30</v>
      </c>
      <c r="F58" s="12" t="str">
        <f t="shared" si="2"/>
        <v>30=&lt;40</v>
      </c>
      <c r="G58" s="12" t="s">
        <v>63</v>
      </c>
      <c r="H58" s="13">
        <v>464.68</v>
      </c>
      <c r="I58" s="12" t="str">
        <f t="shared" si="3"/>
        <v>&lt;1000 AZN</v>
      </c>
      <c r="J58" s="13">
        <v>4844.32</v>
      </c>
      <c r="K58" s="12" t="str">
        <f t="shared" si="4"/>
        <v>4000=&lt;5000 AZN</v>
      </c>
      <c r="L58" s="13">
        <f t="shared" si="5"/>
        <v>-4379.6399999999994</v>
      </c>
      <c r="M58" s="52" t="str">
        <f t="shared" si="6"/>
        <v>menfi</v>
      </c>
      <c r="N58" s="19" t="str">
        <f t="shared" si="7"/>
        <v>Əşrəf Həsənli 34778</v>
      </c>
    </row>
    <row r="59" spans="1:14" ht="14.25" customHeight="1" x14ac:dyDescent="0.25">
      <c r="A59" s="12" t="s">
        <v>104</v>
      </c>
      <c r="B59" s="12" t="s">
        <v>29</v>
      </c>
      <c r="C59" s="14">
        <v>26388</v>
      </c>
      <c r="D59" s="17">
        <f t="shared" si="1"/>
        <v>1972</v>
      </c>
      <c r="E59" s="16">
        <f t="shared" si="0"/>
        <v>53</v>
      </c>
      <c r="F59" s="12" t="str">
        <f t="shared" si="2"/>
        <v>40=&lt;60</v>
      </c>
      <c r="G59" s="12" t="s">
        <v>40</v>
      </c>
      <c r="H59" s="13">
        <v>2543.04</v>
      </c>
      <c r="I59" s="12" t="str">
        <f t="shared" si="3"/>
        <v>2000=&lt;3000 AZN</v>
      </c>
      <c r="J59" s="13">
        <v>4181.2</v>
      </c>
      <c r="K59" s="12" t="str">
        <f t="shared" si="4"/>
        <v>4000=&lt;5000 AZN</v>
      </c>
      <c r="L59" s="13">
        <f t="shared" si="5"/>
        <v>-1638.1599999999999</v>
      </c>
      <c r="M59" s="52" t="str">
        <f t="shared" si="6"/>
        <v>menfi</v>
      </c>
      <c r="N59" s="19" t="str">
        <f t="shared" si="7"/>
        <v>Zahir Bayramov 26388</v>
      </c>
    </row>
    <row r="60" spans="1:14" ht="14.25" customHeight="1" x14ac:dyDescent="0.25">
      <c r="A60" s="12" t="s">
        <v>105</v>
      </c>
      <c r="B60" s="12" t="s">
        <v>26</v>
      </c>
      <c r="C60" s="14">
        <v>28771</v>
      </c>
      <c r="D60" s="17">
        <f t="shared" si="1"/>
        <v>1978</v>
      </c>
      <c r="E60" s="16">
        <f t="shared" si="0"/>
        <v>47</v>
      </c>
      <c r="F60" s="12" t="str">
        <f t="shared" si="2"/>
        <v>40=&lt;60</v>
      </c>
      <c r="G60" s="12" t="s">
        <v>42</v>
      </c>
      <c r="H60" s="13">
        <v>1812.28</v>
      </c>
      <c r="I60" s="12" t="str">
        <f t="shared" si="3"/>
        <v>1000=&lt;2000 AZN</v>
      </c>
      <c r="J60" s="13">
        <v>993.61</v>
      </c>
      <c r="K60" s="12" t="str">
        <f t="shared" si="4"/>
        <v>&lt;1000 AZN</v>
      </c>
      <c r="L60" s="13">
        <f t="shared" si="5"/>
        <v>818.67</v>
      </c>
      <c r="M60" s="52" t="str">
        <f t="shared" si="6"/>
        <v>musbet</v>
      </c>
      <c r="N60" s="19" t="str">
        <f t="shared" si="7"/>
        <v>Əmin Həsənli 28771</v>
      </c>
    </row>
    <row r="61" spans="1:14" ht="14.25" customHeight="1" x14ac:dyDescent="0.25">
      <c r="A61" s="12" t="s">
        <v>106</v>
      </c>
      <c r="B61" s="12" t="s">
        <v>39</v>
      </c>
      <c r="C61" s="14">
        <v>35109</v>
      </c>
      <c r="D61" s="17">
        <f t="shared" si="1"/>
        <v>1996</v>
      </c>
      <c r="E61" s="16">
        <f t="shared" si="0"/>
        <v>29</v>
      </c>
      <c r="F61" s="12" t="str">
        <f t="shared" si="2"/>
        <v>20=&lt;30</v>
      </c>
      <c r="G61" s="12" t="s">
        <v>51</v>
      </c>
      <c r="H61" s="13">
        <v>3097.86</v>
      </c>
      <c r="I61" s="12" t="str">
        <f t="shared" si="3"/>
        <v>3000=&lt;4000 AZN</v>
      </c>
      <c r="J61" s="13">
        <v>2278.08</v>
      </c>
      <c r="K61" s="12" t="str">
        <f t="shared" si="4"/>
        <v>2000=&lt;3000 AZN</v>
      </c>
      <c r="L61" s="13">
        <f t="shared" si="5"/>
        <v>819.7800000000002</v>
      </c>
      <c r="M61" s="52" t="str">
        <f t="shared" si="6"/>
        <v>musbet</v>
      </c>
      <c r="N61" s="19" t="str">
        <f t="shared" si="7"/>
        <v>Ağa Düzgün 35109</v>
      </c>
    </row>
    <row r="62" spans="1:14" ht="14.25" customHeight="1" x14ac:dyDescent="0.25">
      <c r="A62" s="12" t="s">
        <v>107</v>
      </c>
      <c r="B62" s="12" t="s">
        <v>27</v>
      </c>
      <c r="C62" s="14">
        <v>25560</v>
      </c>
      <c r="D62" s="17">
        <f t="shared" si="1"/>
        <v>1969</v>
      </c>
      <c r="E62" s="16">
        <f t="shared" si="0"/>
        <v>56</v>
      </c>
      <c r="F62" s="12" t="str">
        <f t="shared" si="2"/>
        <v>40=&lt;60</v>
      </c>
      <c r="G62" s="12" t="s">
        <v>60</v>
      </c>
      <c r="H62" s="13">
        <v>888.28</v>
      </c>
      <c r="I62" s="12" t="str">
        <f t="shared" si="3"/>
        <v>&lt;1000 AZN</v>
      </c>
      <c r="J62" s="13">
        <v>2486.59</v>
      </c>
      <c r="K62" s="12" t="str">
        <f t="shared" si="4"/>
        <v>2000=&lt;3000 AZN</v>
      </c>
      <c r="L62" s="13">
        <f t="shared" si="5"/>
        <v>-1598.3100000000002</v>
      </c>
      <c r="M62" s="52" t="str">
        <f t="shared" si="6"/>
        <v>menfi</v>
      </c>
      <c r="N62" s="19" t="str">
        <f t="shared" si="7"/>
        <v>Qasım Vurğun 25560</v>
      </c>
    </row>
    <row r="63" spans="1:14" ht="14.25" customHeight="1" x14ac:dyDescent="0.25">
      <c r="A63" s="12" t="s">
        <v>108</v>
      </c>
      <c r="B63" s="12" t="s">
        <v>48</v>
      </c>
      <c r="C63" s="14">
        <v>26932</v>
      </c>
      <c r="D63" s="17">
        <f t="shared" si="1"/>
        <v>1973</v>
      </c>
      <c r="E63" s="16">
        <f t="shared" si="0"/>
        <v>52</v>
      </c>
      <c r="F63" s="12" t="str">
        <f t="shared" si="2"/>
        <v>40=&lt;60</v>
      </c>
      <c r="G63" s="12" t="s">
        <v>40</v>
      </c>
      <c r="H63" s="13">
        <v>4051.43</v>
      </c>
      <c r="I63" s="12" t="str">
        <f t="shared" si="3"/>
        <v>4000=&lt;5000 AZN</v>
      </c>
      <c r="J63" s="13">
        <v>3057.97</v>
      </c>
      <c r="K63" s="12" t="str">
        <f t="shared" si="4"/>
        <v>3000=&lt;4000 AZN</v>
      </c>
      <c r="L63" s="13">
        <f t="shared" si="5"/>
        <v>993.46</v>
      </c>
      <c r="M63" s="52" t="str">
        <f t="shared" si="6"/>
        <v>musbet</v>
      </c>
      <c r="N63" s="19" t="str">
        <f t="shared" si="7"/>
        <v>İlqar Abbasbəyli 26932</v>
      </c>
    </row>
    <row r="64" spans="1:14" ht="14.25" customHeight="1" x14ac:dyDescent="0.25">
      <c r="A64" s="12" t="s">
        <v>109</v>
      </c>
      <c r="B64" s="12" t="s">
        <v>44</v>
      </c>
      <c r="C64" s="14">
        <v>36167</v>
      </c>
      <c r="D64" s="17">
        <f t="shared" si="1"/>
        <v>1999</v>
      </c>
      <c r="E64" s="16">
        <f t="shared" si="0"/>
        <v>26</v>
      </c>
      <c r="F64" s="12" t="str">
        <f t="shared" si="2"/>
        <v>20=&lt;30</v>
      </c>
      <c r="G64" s="12" t="s">
        <v>45</v>
      </c>
      <c r="H64" s="13">
        <v>4302.54</v>
      </c>
      <c r="I64" s="12" t="str">
        <f t="shared" si="3"/>
        <v>4000=&lt;5000 AZN</v>
      </c>
      <c r="J64" s="13">
        <v>4715.57</v>
      </c>
      <c r="K64" s="12" t="str">
        <f t="shared" si="4"/>
        <v>4000=&lt;5000 AZN</v>
      </c>
      <c r="L64" s="13">
        <f t="shared" si="5"/>
        <v>-413.02999999999975</v>
      </c>
      <c r="M64" s="52" t="str">
        <f t="shared" si="6"/>
        <v>menfi</v>
      </c>
      <c r="N64" s="19" t="str">
        <f t="shared" si="7"/>
        <v>Arzu Təhmin 36167</v>
      </c>
    </row>
    <row r="65" spans="1:14" ht="14.25" customHeight="1" x14ac:dyDescent="0.25">
      <c r="A65" s="12" t="s">
        <v>110</v>
      </c>
      <c r="B65" s="12" t="s">
        <v>65</v>
      </c>
      <c r="C65" s="14">
        <v>30217</v>
      </c>
      <c r="D65" s="17">
        <f t="shared" si="1"/>
        <v>1982</v>
      </c>
      <c r="E65" s="16">
        <f t="shared" si="0"/>
        <v>43</v>
      </c>
      <c r="F65" s="12" t="str">
        <f t="shared" si="2"/>
        <v>40=&lt;60</v>
      </c>
      <c r="G65" s="12" t="s">
        <v>45</v>
      </c>
      <c r="H65" s="13">
        <v>2853.11</v>
      </c>
      <c r="I65" s="12" t="str">
        <f t="shared" si="3"/>
        <v>2000=&lt;3000 AZN</v>
      </c>
      <c r="J65" s="13">
        <v>2184.9299999999998</v>
      </c>
      <c r="K65" s="12" t="str">
        <f t="shared" si="4"/>
        <v>2000=&lt;3000 AZN</v>
      </c>
      <c r="L65" s="13">
        <f t="shared" si="5"/>
        <v>668.18000000000029</v>
      </c>
      <c r="M65" s="52" t="str">
        <f t="shared" si="6"/>
        <v>musbet</v>
      </c>
      <c r="N65" s="19" t="str">
        <f t="shared" si="7"/>
        <v>Fəxrəddin Cabbarov 30217</v>
      </c>
    </row>
    <row r="66" spans="1:14" ht="14.25" customHeight="1" x14ac:dyDescent="0.25">
      <c r="A66" s="12" t="s">
        <v>111</v>
      </c>
      <c r="B66" s="12" t="s">
        <v>44</v>
      </c>
      <c r="C66" s="14">
        <v>23721</v>
      </c>
      <c r="D66" s="17">
        <f t="shared" si="1"/>
        <v>1964</v>
      </c>
      <c r="E66" s="16">
        <f t="shared" ref="E66:E129" si="8">2025-D66</f>
        <v>61</v>
      </c>
      <c r="F66" s="12" t="str">
        <f t="shared" si="2"/>
        <v>60=&lt;</v>
      </c>
      <c r="G66" s="12" t="s">
        <v>53</v>
      </c>
      <c r="H66" s="13">
        <v>1716.27</v>
      </c>
      <c r="I66" s="12" t="str">
        <f t="shared" si="3"/>
        <v>1000=&lt;2000 AZN</v>
      </c>
      <c r="J66" s="13">
        <v>3476.11</v>
      </c>
      <c r="K66" s="12" t="str">
        <f t="shared" si="4"/>
        <v>3000=&lt;4000 AZN</v>
      </c>
      <c r="L66" s="13">
        <f t="shared" si="5"/>
        <v>-1759.8400000000001</v>
      </c>
      <c r="M66" s="52" t="str">
        <f t="shared" si="6"/>
        <v>menfi</v>
      </c>
      <c r="N66" s="19" t="str">
        <f t="shared" si="7"/>
        <v>Naibə Təhmin 23721</v>
      </c>
    </row>
    <row r="67" spans="1:14" ht="14.25" customHeight="1" x14ac:dyDescent="0.25">
      <c r="A67" s="12" t="s">
        <v>112</v>
      </c>
      <c r="B67" s="12" t="s">
        <v>30</v>
      </c>
      <c r="C67" s="14">
        <v>33144</v>
      </c>
      <c r="D67" s="17">
        <f t="shared" ref="D67:D130" si="9">YEAR(C67)</f>
        <v>1990</v>
      </c>
      <c r="E67" s="16">
        <f t="shared" si="8"/>
        <v>35</v>
      </c>
      <c r="F67" s="12" t="str">
        <f t="shared" ref="F67:F130" si="10">IF(AND(E67&gt;=0,E67&lt;20),"0=&lt;20",IF(AND(E67&gt;=20,E67&lt;30),"20=&lt;30",IF(AND(E67&gt;=30,E67&lt;40),"30=&lt;40",IF(AND(E67&gt;=40,E67&lt;60),"40=&lt;60",IF(AND(E67&gt;=60),"60=&lt;")))))</f>
        <v>30=&lt;40</v>
      </c>
      <c r="G67" s="12" t="s">
        <v>66</v>
      </c>
      <c r="H67" s="13">
        <v>4797.09</v>
      </c>
      <c r="I67" s="12" t="str">
        <f t="shared" ref="I67:I130" si="11">IF(AND(H67&lt;1000),"&lt;1000 AZN",IF(AND(H67&gt;=1000,H67&lt;2000),"1000=&lt;2000 AZN",IF(AND(H67&gt;=2000,H67&lt;3000),"2000=&lt;3000 AZN",IF(AND(H67&gt;=3000,H67&lt;4000),"3000=&lt;4000 AZN",IF(AND(H67&gt;=4000,H67&lt;5000),"4000=&lt;5000 AZN",IF(AND(H67&gt;=5000,),"5000=&lt;  AZN"))))))</f>
        <v>4000=&lt;5000 AZN</v>
      </c>
      <c r="J67" s="13">
        <v>2618.38</v>
      </c>
      <c r="K67" s="12" t="str">
        <f t="shared" ref="K67:K130" si="12">IF(AND(J67&lt;1000),"&lt;1000 AZN",IF(AND(J67&gt;=1000,J67&lt;2000),"1000=&lt;2000 AZN",IF(AND(J67&gt;=2000,J67&lt;3000),"2000=&lt;3000 AZN",IF(AND(J67&gt;=3000,J67&lt;4000),"3000=&lt;4000 AZN",IF(AND(J67&gt;=4000,J67&lt;5000),"4000=&lt;5000 AZN",IF(AND(J67&gt;=5000,),"5000=&lt;  AZN"))))))</f>
        <v>2000=&lt;3000 AZN</v>
      </c>
      <c r="L67" s="13">
        <f t="shared" ref="L67:L130" si="13">H67-J67</f>
        <v>2178.71</v>
      </c>
      <c r="M67" s="52" t="str">
        <f t="shared" ref="M67:M130" si="14">IF(L67&lt;0,"menfi","musbet")</f>
        <v>musbet</v>
      </c>
      <c r="N67" s="19" t="str">
        <f t="shared" ref="N67:N130" si="15">_xlfn.CONCAT(A67," ",B67," ",C67)</f>
        <v>Lalə Bəktaşi 33144</v>
      </c>
    </row>
    <row r="68" spans="1:14" ht="14.25" customHeight="1" x14ac:dyDescent="0.25">
      <c r="A68" s="12" t="s">
        <v>113</v>
      </c>
      <c r="B68" s="12" t="s">
        <v>28</v>
      </c>
      <c r="C68" s="14">
        <v>23689</v>
      </c>
      <c r="D68" s="17">
        <f t="shared" si="9"/>
        <v>1964</v>
      </c>
      <c r="E68" s="16">
        <f t="shared" si="8"/>
        <v>61</v>
      </c>
      <c r="F68" s="12" t="str">
        <f t="shared" si="10"/>
        <v>60=&lt;</v>
      </c>
      <c r="G68" s="12" t="s">
        <v>63</v>
      </c>
      <c r="H68" s="13">
        <v>830.57</v>
      </c>
      <c r="I68" s="12" t="str">
        <f t="shared" si="11"/>
        <v>&lt;1000 AZN</v>
      </c>
      <c r="J68" s="13">
        <v>3234.1</v>
      </c>
      <c r="K68" s="12" t="str">
        <f t="shared" si="12"/>
        <v>3000=&lt;4000 AZN</v>
      </c>
      <c r="L68" s="13">
        <f t="shared" si="13"/>
        <v>-2403.5299999999997</v>
      </c>
      <c r="M68" s="52" t="str">
        <f t="shared" si="14"/>
        <v>menfi</v>
      </c>
      <c r="N68" s="19" t="str">
        <f t="shared" si="15"/>
        <v>Tamara Mirzəyev 23689</v>
      </c>
    </row>
    <row r="69" spans="1:14" ht="14.25" customHeight="1" x14ac:dyDescent="0.25">
      <c r="A69" s="12" t="s">
        <v>114</v>
      </c>
      <c r="B69" s="12" t="s">
        <v>65</v>
      </c>
      <c r="C69" s="14">
        <v>32987</v>
      </c>
      <c r="D69" s="17">
        <f t="shared" si="9"/>
        <v>1990</v>
      </c>
      <c r="E69" s="16">
        <f t="shared" si="8"/>
        <v>35</v>
      </c>
      <c r="F69" s="12" t="str">
        <f t="shared" si="10"/>
        <v>30=&lt;40</v>
      </c>
      <c r="G69" s="12" t="s">
        <v>53</v>
      </c>
      <c r="H69" s="13">
        <v>932.52</v>
      </c>
      <c r="I69" s="12" t="str">
        <f t="shared" si="11"/>
        <v>&lt;1000 AZN</v>
      </c>
      <c r="J69" s="13">
        <v>2600.0100000000002</v>
      </c>
      <c r="K69" s="12" t="str">
        <f t="shared" si="12"/>
        <v>2000=&lt;3000 AZN</v>
      </c>
      <c r="L69" s="13">
        <f t="shared" si="13"/>
        <v>-1667.4900000000002</v>
      </c>
      <c r="M69" s="52" t="str">
        <f t="shared" si="14"/>
        <v>menfi</v>
      </c>
      <c r="N69" s="19" t="str">
        <f t="shared" si="15"/>
        <v>Kəmalə Cabbarov 32987</v>
      </c>
    </row>
    <row r="70" spans="1:14" ht="14.25" customHeight="1" x14ac:dyDescent="0.25">
      <c r="A70" s="12" t="s">
        <v>115</v>
      </c>
      <c r="B70" s="12" t="s">
        <v>27</v>
      </c>
      <c r="C70" s="14">
        <v>22573</v>
      </c>
      <c r="D70" s="17">
        <f t="shared" si="9"/>
        <v>1961</v>
      </c>
      <c r="E70" s="16">
        <f t="shared" si="8"/>
        <v>64</v>
      </c>
      <c r="F70" s="12" t="str">
        <f t="shared" si="10"/>
        <v>60=&lt;</v>
      </c>
      <c r="G70" s="12" t="s">
        <v>40</v>
      </c>
      <c r="H70" s="13">
        <v>2388.16</v>
      </c>
      <c r="I70" s="12" t="str">
        <f t="shared" si="11"/>
        <v>2000=&lt;3000 AZN</v>
      </c>
      <c r="J70" s="13">
        <v>1969.36</v>
      </c>
      <c r="K70" s="12" t="str">
        <f t="shared" si="12"/>
        <v>1000=&lt;2000 AZN</v>
      </c>
      <c r="L70" s="13">
        <f t="shared" si="13"/>
        <v>418.79999999999995</v>
      </c>
      <c r="M70" s="52" t="str">
        <f t="shared" si="14"/>
        <v>musbet</v>
      </c>
      <c r="N70" s="19" t="str">
        <f t="shared" si="15"/>
        <v>Cəmilə Vurğun 22573</v>
      </c>
    </row>
    <row r="71" spans="1:14" ht="14.25" customHeight="1" x14ac:dyDescent="0.25">
      <c r="A71" s="12" t="s">
        <v>116</v>
      </c>
      <c r="B71" s="12" t="s">
        <v>27</v>
      </c>
      <c r="C71" s="14">
        <v>26036</v>
      </c>
      <c r="D71" s="17">
        <f t="shared" si="9"/>
        <v>1971</v>
      </c>
      <c r="E71" s="16">
        <f t="shared" si="8"/>
        <v>54</v>
      </c>
      <c r="F71" s="12" t="str">
        <f t="shared" si="10"/>
        <v>40=&lt;60</v>
      </c>
      <c r="G71" s="12" t="s">
        <v>45</v>
      </c>
      <c r="H71" s="13">
        <v>1474.8</v>
      </c>
      <c r="I71" s="12" t="str">
        <f t="shared" si="11"/>
        <v>1000=&lt;2000 AZN</v>
      </c>
      <c r="J71" s="13">
        <v>3653.53</v>
      </c>
      <c r="K71" s="12" t="str">
        <f t="shared" si="12"/>
        <v>3000=&lt;4000 AZN</v>
      </c>
      <c r="L71" s="13">
        <f t="shared" si="13"/>
        <v>-2178.7300000000005</v>
      </c>
      <c r="M71" s="52" t="str">
        <f t="shared" si="14"/>
        <v>menfi</v>
      </c>
      <c r="N71" s="19" t="str">
        <f t="shared" si="15"/>
        <v>Pakizə Vurğun 26036</v>
      </c>
    </row>
    <row r="72" spans="1:14" ht="14.25" customHeight="1" x14ac:dyDescent="0.25">
      <c r="A72" s="12" t="s">
        <v>117</v>
      </c>
      <c r="B72" s="12" t="s">
        <v>28</v>
      </c>
      <c r="C72" s="14">
        <v>29885</v>
      </c>
      <c r="D72" s="17">
        <f t="shared" si="9"/>
        <v>1981</v>
      </c>
      <c r="E72" s="16">
        <f t="shared" si="8"/>
        <v>44</v>
      </c>
      <c r="F72" s="12" t="str">
        <f t="shared" si="10"/>
        <v>40=&lt;60</v>
      </c>
      <c r="G72" s="12" t="s">
        <v>49</v>
      </c>
      <c r="H72" s="13">
        <v>2911.33</v>
      </c>
      <c r="I72" s="12" t="str">
        <f t="shared" si="11"/>
        <v>2000=&lt;3000 AZN</v>
      </c>
      <c r="J72" s="13">
        <v>1464.78</v>
      </c>
      <c r="K72" s="12" t="str">
        <f t="shared" si="12"/>
        <v>1000=&lt;2000 AZN</v>
      </c>
      <c r="L72" s="13">
        <f t="shared" si="13"/>
        <v>1446.55</v>
      </c>
      <c r="M72" s="52" t="str">
        <f t="shared" si="14"/>
        <v>musbet</v>
      </c>
      <c r="N72" s="19" t="str">
        <f t="shared" si="15"/>
        <v>Ülvi Mirzəyev 29885</v>
      </c>
    </row>
    <row r="73" spans="1:14" ht="14.25" customHeight="1" x14ac:dyDescent="0.25">
      <c r="A73" s="12" t="s">
        <v>118</v>
      </c>
      <c r="B73" s="12" t="s">
        <v>56</v>
      </c>
      <c r="C73" s="14">
        <v>36079</v>
      </c>
      <c r="D73" s="17">
        <f t="shared" si="9"/>
        <v>1998</v>
      </c>
      <c r="E73" s="16">
        <f t="shared" si="8"/>
        <v>27</v>
      </c>
      <c r="F73" s="12" t="str">
        <f t="shared" si="10"/>
        <v>20=&lt;30</v>
      </c>
      <c r="G73" s="12" t="s">
        <v>42</v>
      </c>
      <c r="H73" s="13">
        <v>2823.17</v>
      </c>
      <c r="I73" s="12" t="str">
        <f t="shared" si="11"/>
        <v>2000=&lt;3000 AZN</v>
      </c>
      <c r="J73" s="13">
        <v>3553.99</v>
      </c>
      <c r="K73" s="12" t="str">
        <f t="shared" si="12"/>
        <v>3000=&lt;4000 AZN</v>
      </c>
      <c r="L73" s="13">
        <f t="shared" si="13"/>
        <v>-730.81999999999971</v>
      </c>
      <c r="M73" s="52" t="str">
        <f t="shared" si="14"/>
        <v>menfi</v>
      </c>
      <c r="N73" s="19" t="str">
        <f t="shared" si="15"/>
        <v>Həsənağa Talıbzadə 36079</v>
      </c>
    </row>
    <row r="74" spans="1:14" ht="14.25" customHeight="1" x14ac:dyDescent="0.25">
      <c r="A74" s="12" t="s">
        <v>119</v>
      </c>
      <c r="B74" s="12" t="s">
        <v>56</v>
      </c>
      <c r="C74" s="14">
        <v>27496</v>
      </c>
      <c r="D74" s="17">
        <f t="shared" si="9"/>
        <v>1975</v>
      </c>
      <c r="E74" s="16">
        <f t="shared" si="8"/>
        <v>50</v>
      </c>
      <c r="F74" s="12" t="str">
        <f t="shared" si="10"/>
        <v>40=&lt;60</v>
      </c>
      <c r="G74" s="12" t="s">
        <v>45</v>
      </c>
      <c r="H74" s="13">
        <v>1450.17</v>
      </c>
      <c r="I74" s="12" t="str">
        <f t="shared" si="11"/>
        <v>1000=&lt;2000 AZN</v>
      </c>
      <c r="J74" s="13">
        <v>3780.07</v>
      </c>
      <c r="K74" s="12" t="str">
        <f t="shared" si="12"/>
        <v>3000=&lt;4000 AZN</v>
      </c>
      <c r="L74" s="13">
        <f t="shared" si="13"/>
        <v>-2329.9</v>
      </c>
      <c r="M74" s="52" t="str">
        <f t="shared" si="14"/>
        <v>menfi</v>
      </c>
      <c r="N74" s="19" t="str">
        <f t="shared" si="15"/>
        <v>Nəcəf Talıbzadə 27496</v>
      </c>
    </row>
    <row r="75" spans="1:14" ht="14.25" customHeight="1" x14ac:dyDescent="0.25">
      <c r="A75" s="12" t="s">
        <v>120</v>
      </c>
      <c r="B75" s="12" t="s">
        <v>44</v>
      </c>
      <c r="C75" s="14">
        <v>26065</v>
      </c>
      <c r="D75" s="17">
        <f t="shared" si="9"/>
        <v>1971</v>
      </c>
      <c r="E75" s="16">
        <f t="shared" si="8"/>
        <v>54</v>
      </c>
      <c r="F75" s="12" t="str">
        <f t="shared" si="10"/>
        <v>40=&lt;60</v>
      </c>
      <c r="G75" s="12" t="s">
        <v>42</v>
      </c>
      <c r="H75" s="13">
        <v>382.17</v>
      </c>
      <c r="I75" s="12" t="str">
        <f t="shared" si="11"/>
        <v>&lt;1000 AZN</v>
      </c>
      <c r="J75" s="13">
        <v>1659.1</v>
      </c>
      <c r="K75" s="12" t="str">
        <f t="shared" si="12"/>
        <v>1000=&lt;2000 AZN</v>
      </c>
      <c r="L75" s="13">
        <f t="shared" si="13"/>
        <v>-1276.9299999999998</v>
      </c>
      <c r="M75" s="52" t="str">
        <f t="shared" si="14"/>
        <v>menfi</v>
      </c>
      <c r="N75" s="19" t="str">
        <f t="shared" si="15"/>
        <v>Aygül Təhmin 26065</v>
      </c>
    </row>
    <row r="76" spans="1:14" ht="14.25" customHeight="1" x14ac:dyDescent="0.25">
      <c r="A76" s="12" t="s">
        <v>121</v>
      </c>
      <c r="B76" s="12" t="s">
        <v>48</v>
      </c>
      <c r="C76" s="14">
        <v>23158</v>
      </c>
      <c r="D76" s="17">
        <f t="shared" si="9"/>
        <v>1963</v>
      </c>
      <c r="E76" s="16">
        <f t="shared" si="8"/>
        <v>62</v>
      </c>
      <c r="F76" s="12" t="str">
        <f t="shared" si="10"/>
        <v>60=&lt;</v>
      </c>
      <c r="G76" s="12" t="s">
        <v>40</v>
      </c>
      <c r="H76" s="13">
        <v>1330.79</v>
      </c>
      <c r="I76" s="12" t="str">
        <f t="shared" si="11"/>
        <v>1000=&lt;2000 AZN</v>
      </c>
      <c r="J76" s="13">
        <v>1852.91</v>
      </c>
      <c r="K76" s="12" t="str">
        <f t="shared" si="12"/>
        <v>1000=&lt;2000 AZN</v>
      </c>
      <c r="L76" s="13">
        <f t="shared" si="13"/>
        <v>-522.12000000000012</v>
      </c>
      <c r="M76" s="52" t="str">
        <f t="shared" si="14"/>
        <v>menfi</v>
      </c>
      <c r="N76" s="19" t="str">
        <f t="shared" si="15"/>
        <v>Qabil Abbasbəyli 23158</v>
      </c>
    </row>
    <row r="77" spans="1:14" ht="14.25" customHeight="1" x14ac:dyDescent="0.25">
      <c r="A77" s="12" t="s">
        <v>122</v>
      </c>
      <c r="B77" s="12" t="s">
        <v>48</v>
      </c>
      <c r="C77" s="14">
        <v>34499</v>
      </c>
      <c r="D77" s="17">
        <f t="shared" si="9"/>
        <v>1994</v>
      </c>
      <c r="E77" s="16">
        <f t="shared" si="8"/>
        <v>31</v>
      </c>
      <c r="F77" s="12" t="str">
        <f t="shared" si="10"/>
        <v>30=&lt;40</v>
      </c>
      <c r="G77" s="12" t="s">
        <v>63</v>
      </c>
      <c r="H77" s="13">
        <v>1068.24</v>
      </c>
      <c r="I77" s="12" t="str">
        <f t="shared" si="11"/>
        <v>1000=&lt;2000 AZN</v>
      </c>
      <c r="J77" s="13">
        <v>2847.36</v>
      </c>
      <c r="K77" s="12" t="str">
        <f t="shared" si="12"/>
        <v>2000=&lt;3000 AZN</v>
      </c>
      <c r="L77" s="13">
        <f t="shared" si="13"/>
        <v>-1779.1200000000001</v>
      </c>
      <c r="M77" s="52" t="str">
        <f t="shared" si="14"/>
        <v>menfi</v>
      </c>
      <c r="N77" s="19" t="str">
        <f t="shared" si="15"/>
        <v>Asiman Abbasbəyli 34499</v>
      </c>
    </row>
    <row r="78" spans="1:14" ht="14.25" customHeight="1" x14ac:dyDescent="0.25">
      <c r="A78" s="12" t="s">
        <v>123</v>
      </c>
      <c r="B78" s="12" t="s">
        <v>30</v>
      </c>
      <c r="C78" s="14">
        <v>27220</v>
      </c>
      <c r="D78" s="17">
        <f t="shared" si="9"/>
        <v>1974</v>
      </c>
      <c r="E78" s="16">
        <f t="shared" si="8"/>
        <v>51</v>
      </c>
      <c r="F78" s="12" t="str">
        <f t="shared" si="10"/>
        <v>40=&lt;60</v>
      </c>
      <c r="G78" s="12" t="s">
        <v>60</v>
      </c>
      <c r="H78" s="13">
        <v>1247.3399999999999</v>
      </c>
      <c r="I78" s="12" t="str">
        <f t="shared" si="11"/>
        <v>1000=&lt;2000 AZN</v>
      </c>
      <c r="J78" s="13">
        <v>1804.01</v>
      </c>
      <c r="K78" s="12" t="str">
        <f t="shared" si="12"/>
        <v>1000=&lt;2000 AZN</v>
      </c>
      <c r="L78" s="13">
        <f t="shared" si="13"/>
        <v>-556.67000000000007</v>
      </c>
      <c r="M78" s="52" t="str">
        <f t="shared" si="14"/>
        <v>menfi</v>
      </c>
      <c r="N78" s="19" t="str">
        <f t="shared" si="15"/>
        <v>Şirzad Bəktaşi 27220</v>
      </c>
    </row>
    <row r="79" spans="1:14" ht="14.25" customHeight="1" x14ac:dyDescent="0.25">
      <c r="A79" s="12" t="s">
        <v>124</v>
      </c>
      <c r="B79" s="12" t="s">
        <v>48</v>
      </c>
      <c r="C79" s="14">
        <v>25126</v>
      </c>
      <c r="D79" s="17">
        <f t="shared" si="9"/>
        <v>1968</v>
      </c>
      <c r="E79" s="16">
        <f t="shared" si="8"/>
        <v>57</v>
      </c>
      <c r="F79" s="12" t="str">
        <f t="shared" si="10"/>
        <v>40=&lt;60</v>
      </c>
      <c r="G79" s="12" t="s">
        <v>40</v>
      </c>
      <c r="H79" s="13">
        <v>489.64</v>
      </c>
      <c r="I79" s="12" t="str">
        <f t="shared" si="11"/>
        <v>&lt;1000 AZN</v>
      </c>
      <c r="J79" s="13">
        <v>3930.2</v>
      </c>
      <c r="K79" s="12" t="str">
        <f t="shared" si="12"/>
        <v>3000=&lt;4000 AZN</v>
      </c>
      <c r="L79" s="13">
        <f t="shared" si="13"/>
        <v>-3440.56</v>
      </c>
      <c r="M79" s="52" t="str">
        <f t="shared" si="14"/>
        <v>menfi</v>
      </c>
      <c r="N79" s="19" t="str">
        <f t="shared" si="15"/>
        <v>Kamran Abbasbəyli 25126</v>
      </c>
    </row>
    <row r="80" spans="1:14" ht="14.25" customHeight="1" x14ac:dyDescent="0.25">
      <c r="A80" s="12" t="s">
        <v>125</v>
      </c>
      <c r="B80" s="12" t="s">
        <v>44</v>
      </c>
      <c r="C80" s="14">
        <v>26617</v>
      </c>
      <c r="D80" s="17">
        <f t="shared" si="9"/>
        <v>1972</v>
      </c>
      <c r="E80" s="16">
        <f t="shared" si="8"/>
        <v>53</v>
      </c>
      <c r="F80" s="12" t="str">
        <f t="shared" si="10"/>
        <v>40=&lt;60</v>
      </c>
      <c r="G80" s="12" t="s">
        <v>58</v>
      </c>
      <c r="H80" s="13">
        <v>1160.3699999999999</v>
      </c>
      <c r="I80" s="12" t="str">
        <f t="shared" si="11"/>
        <v>1000=&lt;2000 AZN</v>
      </c>
      <c r="J80" s="13">
        <v>575.01</v>
      </c>
      <c r="K80" s="12" t="str">
        <f t="shared" si="12"/>
        <v>&lt;1000 AZN</v>
      </c>
      <c r="L80" s="13">
        <f t="shared" si="13"/>
        <v>585.3599999999999</v>
      </c>
      <c r="M80" s="52" t="str">
        <f t="shared" si="14"/>
        <v>musbet</v>
      </c>
      <c r="N80" s="19" t="str">
        <f t="shared" si="15"/>
        <v>Nübar Təhmin 26617</v>
      </c>
    </row>
    <row r="81" spans="1:14" ht="14.25" customHeight="1" x14ac:dyDescent="0.25">
      <c r="A81" s="12" t="s">
        <v>126</v>
      </c>
      <c r="B81" s="12" t="s">
        <v>39</v>
      </c>
      <c r="C81" s="14">
        <v>34429</v>
      </c>
      <c r="D81" s="17">
        <f t="shared" si="9"/>
        <v>1994</v>
      </c>
      <c r="E81" s="16">
        <f t="shared" si="8"/>
        <v>31</v>
      </c>
      <c r="F81" s="12" t="str">
        <f t="shared" si="10"/>
        <v>30=&lt;40</v>
      </c>
      <c r="G81" s="12" t="s">
        <v>40</v>
      </c>
      <c r="H81" s="13">
        <v>3188.73</v>
      </c>
      <c r="I81" s="12" t="str">
        <f t="shared" si="11"/>
        <v>3000=&lt;4000 AZN</v>
      </c>
      <c r="J81" s="13">
        <v>2954.84</v>
      </c>
      <c r="K81" s="12" t="str">
        <f t="shared" si="12"/>
        <v>2000=&lt;3000 AZN</v>
      </c>
      <c r="L81" s="13">
        <f t="shared" si="13"/>
        <v>233.88999999999987</v>
      </c>
      <c r="M81" s="52" t="str">
        <f t="shared" si="14"/>
        <v>musbet</v>
      </c>
      <c r="N81" s="19" t="str">
        <f t="shared" si="15"/>
        <v>Atamoğlan Düzgün 34429</v>
      </c>
    </row>
    <row r="82" spans="1:14" ht="14.25" customHeight="1" x14ac:dyDescent="0.25">
      <c r="A82" s="12" t="s">
        <v>127</v>
      </c>
      <c r="B82" s="12" t="s">
        <v>26</v>
      </c>
      <c r="C82" s="14">
        <v>30108</v>
      </c>
      <c r="D82" s="17">
        <f t="shared" si="9"/>
        <v>1982</v>
      </c>
      <c r="E82" s="16">
        <f t="shared" si="8"/>
        <v>43</v>
      </c>
      <c r="F82" s="12" t="str">
        <f t="shared" si="10"/>
        <v>40=&lt;60</v>
      </c>
      <c r="G82" s="12" t="s">
        <v>66</v>
      </c>
      <c r="H82" s="13">
        <v>349.4</v>
      </c>
      <c r="I82" s="12" t="str">
        <f t="shared" si="11"/>
        <v>&lt;1000 AZN</v>
      </c>
      <c r="J82" s="13">
        <v>358.89</v>
      </c>
      <c r="K82" s="12" t="str">
        <f t="shared" si="12"/>
        <v>&lt;1000 AZN</v>
      </c>
      <c r="L82" s="13">
        <f t="shared" si="13"/>
        <v>-9.4900000000000091</v>
      </c>
      <c r="M82" s="52" t="str">
        <f t="shared" si="14"/>
        <v>menfi</v>
      </c>
      <c r="N82" s="19" t="str">
        <f t="shared" si="15"/>
        <v>Nağı Həsənli 30108</v>
      </c>
    </row>
    <row r="83" spans="1:14" ht="14.25" customHeight="1" x14ac:dyDescent="0.25">
      <c r="A83" s="12" t="s">
        <v>128</v>
      </c>
      <c r="B83" s="12" t="s">
        <v>29</v>
      </c>
      <c r="C83" s="14">
        <v>33584</v>
      </c>
      <c r="D83" s="17">
        <f t="shared" si="9"/>
        <v>1991</v>
      </c>
      <c r="E83" s="16">
        <f t="shared" si="8"/>
        <v>34</v>
      </c>
      <c r="F83" s="12" t="str">
        <f t="shared" si="10"/>
        <v>30=&lt;40</v>
      </c>
      <c r="G83" s="12" t="s">
        <v>49</v>
      </c>
      <c r="H83" s="13">
        <v>1385.96</v>
      </c>
      <c r="I83" s="12" t="str">
        <f t="shared" si="11"/>
        <v>1000=&lt;2000 AZN</v>
      </c>
      <c r="J83" s="13">
        <v>4681.5</v>
      </c>
      <c r="K83" s="12" t="str">
        <f t="shared" si="12"/>
        <v>4000=&lt;5000 AZN</v>
      </c>
      <c r="L83" s="13">
        <f t="shared" si="13"/>
        <v>-3295.54</v>
      </c>
      <c r="M83" s="52" t="str">
        <f t="shared" si="14"/>
        <v>menfi</v>
      </c>
      <c r="N83" s="19" t="str">
        <f t="shared" si="15"/>
        <v>İxtiyar Bayramov 33584</v>
      </c>
    </row>
    <row r="84" spans="1:14" ht="14.25" customHeight="1" x14ac:dyDescent="0.25">
      <c r="A84" s="12" t="s">
        <v>129</v>
      </c>
      <c r="B84" s="12" t="s">
        <v>56</v>
      </c>
      <c r="C84" s="14">
        <v>23973</v>
      </c>
      <c r="D84" s="17">
        <f t="shared" si="9"/>
        <v>1965</v>
      </c>
      <c r="E84" s="16">
        <f t="shared" si="8"/>
        <v>60</v>
      </c>
      <c r="F84" s="12" t="str">
        <f t="shared" si="10"/>
        <v>60=&lt;</v>
      </c>
      <c r="G84" s="12" t="s">
        <v>40</v>
      </c>
      <c r="H84" s="13">
        <v>2476.5500000000002</v>
      </c>
      <c r="I84" s="12" t="str">
        <f t="shared" si="11"/>
        <v>2000=&lt;3000 AZN</v>
      </c>
      <c r="J84" s="13">
        <v>1525.6</v>
      </c>
      <c r="K84" s="12" t="str">
        <f t="shared" si="12"/>
        <v>1000=&lt;2000 AZN</v>
      </c>
      <c r="L84" s="13">
        <f t="shared" si="13"/>
        <v>950.95000000000027</v>
      </c>
      <c r="M84" s="52" t="str">
        <f t="shared" si="14"/>
        <v>musbet</v>
      </c>
      <c r="N84" s="19" t="str">
        <f t="shared" si="15"/>
        <v>Nəfisə Talıbzadə 23973</v>
      </c>
    </row>
    <row r="85" spans="1:14" ht="14.25" customHeight="1" x14ac:dyDescent="0.25">
      <c r="A85" s="12" t="s">
        <v>130</v>
      </c>
      <c r="B85" s="12" t="s">
        <v>65</v>
      </c>
      <c r="C85" s="14">
        <v>25457</v>
      </c>
      <c r="D85" s="17">
        <f t="shared" si="9"/>
        <v>1969</v>
      </c>
      <c r="E85" s="16">
        <f t="shared" si="8"/>
        <v>56</v>
      </c>
      <c r="F85" s="12" t="str">
        <f t="shared" si="10"/>
        <v>40=&lt;60</v>
      </c>
      <c r="G85" s="12" t="s">
        <v>40</v>
      </c>
      <c r="H85" s="13">
        <v>2805.91</v>
      </c>
      <c r="I85" s="12" t="str">
        <f t="shared" si="11"/>
        <v>2000=&lt;3000 AZN</v>
      </c>
      <c r="J85" s="13">
        <v>1441.4</v>
      </c>
      <c r="K85" s="12" t="str">
        <f t="shared" si="12"/>
        <v>1000=&lt;2000 AZN</v>
      </c>
      <c r="L85" s="13">
        <f t="shared" si="13"/>
        <v>1364.5099999999998</v>
      </c>
      <c r="M85" s="52" t="str">
        <f t="shared" si="14"/>
        <v>musbet</v>
      </c>
      <c r="N85" s="19" t="str">
        <f t="shared" si="15"/>
        <v>Məlahət Cabbarov 25457</v>
      </c>
    </row>
    <row r="86" spans="1:14" ht="14.25" customHeight="1" x14ac:dyDescent="0.25">
      <c r="A86" s="12" t="s">
        <v>131</v>
      </c>
      <c r="B86" s="12" t="s">
        <v>44</v>
      </c>
      <c r="C86" s="14">
        <v>36281</v>
      </c>
      <c r="D86" s="17">
        <f t="shared" si="9"/>
        <v>1999</v>
      </c>
      <c r="E86" s="16">
        <f t="shared" si="8"/>
        <v>26</v>
      </c>
      <c r="F86" s="12" t="str">
        <f t="shared" si="10"/>
        <v>20=&lt;30</v>
      </c>
      <c r="G86" s="12" t="s">
        <v>60</v>
      </c>
      <c r="H86" s="13">
        <v>666.71</v>
      </c>
      <c r="I86" s="12" t="str">
        <f t="shared" si="11"/>
        <v>&lt;1000 AZN</v>
      </c>
      <c r="J86" s="13">
        <v>3970.54</v>
      </c>
      <c r="K86" s="12" t="str">
        <f t="shared" si="12"/>
        <v>3000=&lt;4000 AZN</v>
      </c>
      <c r="L86" s="13">
        <f t="shared" si="13"/>
        <v>-3303.83</v>
      </c>
      <c r="M86" s="52" t="str">
        <f t="shared" si="14"/>
        <v>menfi</v>
      </c>
      <c r="N86" s="19" t="str">
        <f t="shared" si="15"/>
        <v>Emil Təhmin 36281</v>
      </c>
    </row>
    <row r="87" spans="1:14" ht="14.25" customHeight="1" x14ac:dyDescent="0.25">
      <c r="A87" s="12" t="s">
        <v>132</v>
      </c>
      <c r="B87" s="12" t="s">
        <v>48</v>
      </c>
      <c r="C87" s="14">
        <v>35870</v>
      </c>
      <c r="D87" s="17">
        <f t="shared" si="9"/>
        <v>1998</v>
      </c>
      <c r="E87" s="16">
        <f t="shared" si="8"/>
        <v>27</v>
      </c>
      <c r="F87" s="12" t="str">
        <f t="shared" si="10"/>
        <v>20=&lt;30</v>
      </c>
      <c r="G87" s="12" t="s">
        <v>53</v>
      </c>
      <c r="H87" s="13">
        <v>372.63</v>
      </c>
      <c r="I87" s="12" t="str">
        <f t="shared" si="11"/>
        <v>&lt;1000 AZN</v>
      </c>
      <c r="J87" s="13">
        <v>802.43</v>
      </c>
      <c r="K87" s="12" t="str">
        <f t="shared" si="12"/>
        <v>&lt;1000 AZN</v>
      </c>
      <c r="L87" s="13">
        <f t="shared" si="13"/>
        <v>-429.79999999999995</v>
      </c>
      <c r="M87" s="52" t="str">
        <f t="shared" si="14"/>
        <v>menfi</v>
      </c>
      <c r="N87" s="19" t="str">
        <f t="shared" si="15"/>
        <v>Şəhrəbanu Abbasbəyli 35870</v>
      </c>
    </row>
    <row r="88" spans="1:14" ht="14.25" customHeight="1" x14ac:dyDescent="0.25">
      <c r="A88" s="12" t="s">
        <v>133</v>
      </c>
      <c r="B88" s="12" t="s">
        <v>28</v>
      </c>
      <c r="C88" s="14">
        <v>35188</v>
      </c>
      <c r="D88" s="17">
        <f t="shared" si="9"/>
        <v>1996</v>
      </c>
      <c r="E88" s="16">
        <f t="shared" si="8"/>
        <v>29</v>
      </c>
      <c r="F88" s="12" t="str">
        <f t="shared" si="10"/>
        <v>20=&lt;30</v>
      </c>
      <c r="G88" s="12" t="s">
        <v>42</v>
      </c>
      <c r="H88" s="13">
        <v>2713.05</v>
      </c>
      <c r="I88" s="12" t="str">
        <f t="shared" si="11"/>
        <v>2000=&lt;3000 AZN</v>
      </c>
      <c r="J88" s="13">
        <v>3347.66</v>
      </c>
      <c r="K88" s="12" t="str">
        <f t="shared" si="12"/>
        <v>3000=&lt;4000 AZN</v>
      </c>
      <c r="L88" s="13">
        <f t="shared" si="13"/>
        <v>-634.60999999999967</v>
      </c>
      <c r="M88" s="52" t="str">
        <f t="shared" si="14"/>
        <v>menfi</v>
      </c>
      <c r="N88" s="19" t="str">
        <f t="shared" si="15"/>
        <v>Ayla Mirzəyev 35188</v>
      </c>
    </row>
    <row r="89" spans="1:14" ht="14.25" customHeight="1" x14ac:dyDescent="0.25">
      <c r="A89" s="12" t="s">
        <v>134</v>
      </c>
      <c r="B89" s="12" t="s">
        <v>26</v>
      </c>
      <c r="C89" s="14">
        <v>26353</v>
      </c>
      <c r="D89" s="17">
        <f t="shared" si="9"/>
        <v>1972</v>
      </c>
      <c r="E89" s="16">
        <f t="shared" si="8"/>
        <v>53</v>
      </c>
      <c r="F89" s="12" t="str">
        <f t="shared" si="10"/>
        <v>40=&lt;60</v>
      </c>
      <c r="G89" s="12" t="s">
        <v>53</v>
      </c>
      <c r="H89" s="13">
        <v>2246.2399999999998</v>
      </c>
      <c r="I89" s="12" t="str">
        <f t="shared" si="11"/>
        <v>2000=&lt;3000 AZN</v>
      </c>
      <c r="J89" s="13">
        <v>2106.36</v>
      </c>
      <c r="K89" s="12" t="str">
        <f t="shared" si="12"/>
        <v>2000=&lt;3000 AZN</v>
      </c>
      <c r="L89" s="13">
        <f t="shared" si="13"/>
        <v>139.87999999999965</v>
      </c>
      <c r="M89" s="52" t="str">
        <f t="shared" si="14"/>
        <v>musbet</v>
      </c>
      <c r="N89" s="19" t="str">
        <f t="shared" si="15"/>
        <v>Fəxriyyə Həsənli 26353</v>
      </c>
    </row>
    <row r="90" spans="1:14" ht="14.25" customHeight="1" x14ac:dyDescent="0.25">
      <c r="A90" s="12" t="s">
        <v>135</v>
      </c>
      <c r="B90" s="12" t="s">
        <v>30</v>
      </c>
      <c r="C90" s="14">
        <v>27669</v>
      </c>
      <c r="D90" s="17">
        <f t="shared" si="9"/>
        <v>1975</v>
      </c>
      <c r="E90" s="16">
        <f t="shared" si="8"/>
        <v>50</v>
      </c>
      <c r="F90" s="12" t="str">
        <f t="shared" si="10"/>
        <v>40=&lt;60</v>
      </c>
      <c r="G90" s="12" t="s">
        <v>60</v>
      </c>
      <c r="H90" s="13">
        <v>4882.1899999999996</v>
      </c>
      <c r="I90" s="12" t="str">
        <f t="shared" si="11"/>
        <v>4000=&lt;5000 AZN</v>
      </c>
      <c r="J90" s="13">
        <v>4280.3100000000004</v>
      </c>
      <c r="K90" s="12" t="str">
        <f t="shared" si="12"/>
        <v>4000=&lt;5000 AZN</v>
      </c>
      <c r="L90" s="13">
        <f t="shared" si="13"/>
        <v>601.8799999999992</v>
      </c>
      <c r="M90" s="52" t="str">
        <f t="shared" si="14"/>
        <v>musbet</v>
      </c>
      <c r="N90" s="19" t="str">
        <f t="shared" si="15"/>
        <v>Eldar Bəktaşi 27669</v>
      </c>
    </row>
    <row r="91" spans="1:14" ht="14.25" customHeight="1" x14ac:dyDescent="0.25">
      <c r="A91" s="12" t="s">
        <v>136</v>
      </c>
      <c r="B91" s="12" t="s">
        <v>26</v>
      </c>
      <c r="C91" s="14">
        <v>23440</v>
      </c>
      <c r="D91" s="17">
        <f t="shared" si="9"/>
        <v>1964</v>
      </c>
      <c r="E91" s="16">
        <f t="shared" si="8"/>
        <v>61</v>
      </c>
      <c r="F91" s="12" t="str">
        <f t="shared" si="10"/>
        <v>60=&lt;</v>
      </c>
      <c r="G91" s="12" t="s">
        <v>60</v>
      </c>
      <c r="H91" s="13">
        <v>2633.94</v>
      </c>
      <c r="I91" s="12" t="str">
        <f t="shared" si="11"/>
        <v>2000=&lt;3000 AZN</v>
      </c>
      <c r="J91" s="13">
        <v>2400.41</v>
      </c>
      <c r="K91" s="12" t="str">
        <f t="shared" si="12"/>
        <v>2000=&lt;3000 AZN</v>
      </c>
      <c r="L91" s="13">
        <f t="shared" si="13"/>
        <v>233.5300000000002</v>
      </c>
      <c r="M91" s="52" t="str">
        <f t="shared" si="14"/>
        <v>musbet</v>
      </c>
      <c r="N91" s="19" t="str">
        <f t="shared" si="15"/>
        <v>Əminə Həsənli 23440</v>
      </c>
    </row>
    <row r="92" spans="1:14" ht="14.25" customHeight="1" x14ac:dyDescent="0.25">
      <c r="A92" s="12" t="s">
        <v>137</v>
      </c>
      <c r="B92" s="12" t="s">
        <v>28</v>
      </c>
      <c r="C92" s="14">
        <v>37236</v>
      </c>
      <c r="D92" s="17">
        <f t="shared" si="9"/>
        <v>2001</v>
      </c>
      <c r="E92" s="16">
        <f t="shared" si="8"/>
        <v>24</v>
      </c>
      <c r="F92" s="12" t="str">
        <f t="shared" si="10"/>
        <v>20=&lt;30</v>
      </c>
      <c r="G92" s="12" t="s">
        <v>63</v>
      </c>
      <c r="H92" s="13">
        <v>2332.36</v>
      </c>
      <c r="I92" s="12" t="str">
        <f t="shared" si="11"/>
        <v>2000=&lt;3000 AZN</v>
      </c>
      <c r="J92" s="13">
        <v>4002.77</v>
      </c>
      <c r="K92" s="12" t="str">
        <f t="shared" si="12"/>
        <v>4000=&lt;5000 AZN</v>
      </c>
      <c r="L92" s="13">
        <f t="shared" si="13"/>
        <v>-1670.4099999999999</v>
      </c>
      <c r="M92" s="52" t="str">
        <f t="shared" si="14"/>
        <v>menfi</v>
      </c>
      <c r="N92" s="19" t="str">
        <f t="shared" si="15"/>
        <v>İlhamə Mirzəyev 37236</v>
      </c>
    </row>
    <row r="93" spans="1:14" ht="14.25" customHeight="1" x14ac:dyDescent="0.25">
      <c r="A93" s="12" t="s">
        <v>138</v>
      </c>
      <c r="B93" s="12" t="s">
        <v>27</v>
      </c>
      <c r="C93" s="14">
        <v>27366</v>
      </c>
      <c r="D93" s="17">
        <f t="shared" si="9"/>
        <v>1974</v>
      </c>
      <c r="E93" s="16">
        <f t="shared" si="8"/>
        <v>51</v>
      </c>
      <c r="F93" s="12" t="str">
        <f t="shared" si="10"/>
        <v>40=&lt;60</v>
      </c>
      <c r="G93" s="12" t="s">
        <v>63</v>
      </c>
      <c r="H93" s="13">
        <v>2135.9499999999998</v>
      </c>
      <c r="I93" s="12" t="str">
        <f t="shared" si="11"/>
        <v>2000=&lt;3000 AZN</v>
      </c>
      <c r="J93" s="13">
        <v>2967.78</v>
      </c>
      <c r="K93" s="12" t="str">
        <f t="shared" si="12"/>
        <v>2000=&lt;3000 AZN</v>
      </c>
      <c r="L93" s="13">
        <f t="shared" si="13"/>
        <v>-831.83000000000038</v>
      </c>
      <c r="M93" s="52" t="str">
        <f t="shared" si="14"/>
        <v>menfi</v>
      </c>
      <c r="N93" s="19" t="str">
        <f t="shared" si="15"/>
        <v>Kamilə Vurğun 27366</v>
      </c>
    </row>
    <row r="94" spans="1:14" ht="14.25" customHeight="1" x14ac:dyDescent="0.25">
      <c r="A94" s="12" t="s">
        <v>139</v>
      </c>
      <c r="B94" s="12" t="s">
        <v>48</v>
      </c>
      <c r="C94" s="14">
        <v>30375</v>
      </c>
      <c r="D94" s="17">
        <f t="shared" si="9"/>
        <v>1983</v>
      </c>
      <c r="E94" s="16">
        <f t="shared" si="8"/>
        <v>42</v>
      </c>
      <c r="F94" s="12" t="str">
        <f t="shared" si="10"/>
        <v>40=&lt;60</v>
      </c>
      <c r="G94" s="12" t="s">
        <v>53</v>
      </c>
      <c r="H94" s="13">
        <v>2980.59</v>
      </c>
      <c r="I94" s="12" t="str">
        <f t="shared" si="11"/>
        <v>2000=&lt;3000 AZN</v>
      </c>
      <c r="J94" s="13">
        <v>4080.88</v>
      </c>
      <c r="K94" s="12" t="str">
        <f t="shared" si="12"/>
        <v>4000=&lt;5000 AZN</v>
      </c>
      <c r="L94" s="13">
        <f t="shared" si="13"/>
        <v>-1100.29</v>
      </c>
      <c r="M94" s="52" t="str">
        <f t="shared" si="14"/>
        <v>menfi</v>
      </c>
      <c r="N94" s="19" t="str">
        <f t="shared" si="15"/>
        <v>Afiq Abbasbəyli 30375</v>
      </c>
    </row>
    <row r="95" spans="1:14" ht="14.25" customHeight="1" x14ac:dyDescent="0.25">
      <c r="A95" s="12" t="s">
        <v>140</v>
      </c>
      <c r="B95" s="12" t="s">
        <v>44</v>
      </c>
      <c r="C95" s="14">
        <v>30320</v>
      </c>
      <c r="D95" s="17">
        <f t="shared" si="9"/>
        <v>1983</v>
      </c>
      <c r="E95" s="16">
        <f t="shared" si="8"/>
        <v>42</v>
      </c>
      <c r="F95" s="12" t="str">
        <f t="shared" si="10"/>
        <v>40=&lt;60</v>
      </c>
      <c r="G95" s="12" t="s">
        <v>60</v>
      </c>
      <c r="H95" s="13">
        <v>1344.72</v>
      </c>
      <c r="I95" s="12" t="str">
        <f t="shared" si="11"/>
        <v>1000=&lt;2000 AZN</v>
      </c>
      <c r="J95" s="13">
        <v>3764.19</v>
      </c>
      <c r="K95" s="12" t="str">
        <f t="shared" si="12"/>
        <v>3000=&lt;4000 AZN</v>
      </c>
      <c r="L95" s="13">
        <f t="shared" si="13"/>
        <v>-2419.4700000000003</v>
      </c>
      <c r="M95" s="52" t="str">
        <f t="shared" si="14"/>
        <v>menfi</v>
      </c>
      <c r="N95" s="19" t="str">
        <f t="shared" si="15"/>
        <v>Məleykə Təhmin 30320</v>
      </c>
    </row>
    <row r="96" spans="1:14" ht="14.25" customHeight="1" x14ac:dyDescent="0.25">
      <c r="A96" s="12" t="s">
        <v>141</v>
      </c>
      <c r="B96" s="12" t="s">
        <v>44</v>
      </c>
      <c r="C96" s="14">
        <v>25663</v>
      </c>
      <c r="D96" s="17">
        <f t="shared" si="9"/>
        <v>1970</v>
      </c>
      <c r="E96" s="16">
        <f t="shared" si="8"/>
        <v>55</v>
      </c>
      <c r="F96" s="12" t="str">
        <f t="shared" si="10"/>
        <v>40=&lt;60</v>
      </c>
      <c r="G96" s="12" t="s">
        <v>60</v>
      </c>
      <c r="H96" s="13">
        <v>4288.3</v>
      </c>
      <c r="I96" s="12" t="str">
        <f t="shared" si="11"/>
        <v>4000=&lt;5000 AZN</v>
      </c>
      <c r="J96" s="13">
        <v>3754.65</v>
      </c>
      <c r="K96" s="12" t="str">
        <f t="shared" si="12"/>
        <v>3000=&lt;4000 AZN</v>
      </c>
      <c r="L96" s="13">
        <f t="shared" si="13"/>
        <v>533.65000000000009</v>
      </c>
      <c r="M96" s="52" t="str">
        <f t="shared" si="14"/>
        <v>musbet</v>
      </c>
      <c r="N96" s="19" t="str">
        <f t="shared" si="15"/>
        <v>Sarvan Təhmin 25663</v>
      </c>
    </row>
    <row r="97" spans="1:14" ht="14.25" customHeight="1" x14ac:dyDescent="0.25">
      <c r="A97" s="12" t="s">
        <v>142</v>
      </c>
      <c r="B97" s="12" t="s">
        <v>44</v>
      </c>
      <c r="C97" s="14">
        <v>26704</v>
      </c>
      <c r="D97" s="17">
        <f t="shared" si="9"/>
        <v>1973</v>
      </c>
      <c r="E97" s="16">
        <f t="shared" si="8"/>
        <v>52</v>
      </c>
      <c r="F97" s="12" t="str">
        <f t="shared" si="10"/>
        <v>40=&lt;60</v>
      </c>
      <c r="G97" s="12" t="s">
        <v>45</v>
      </c>
      <c r="H97" s="13">
        <v>2014.96</v>
      </c>
      <c r="I97" s="12" t="str">
        <f t="shared" si="11"/>
        <v>2000=&lt;3000 AZN</v>
      </c>
      <c r="J97" s="13">
        <v>4531.2299999999996</v>
      </c>
      <c r="K97" s="12" t="str">
        <f t="shared" si="12"/>
        <v>4000=&lt;5000 AZN</v>
      </c>
      <c r="L97" s="13">
        <f t="shared" si="13"/>
        <v>-2516.2699999999995</v>
      </c>
      <c r="M97" s="52" t="str">
        <f t="shared" si="14"/>
        <v>menfi</v>
      </c>
      <c r="N97" s="19" t="str">
        <f t="shared" si="15"/>
        <v>Aysu Təhmin 26704</v>
      </c>
    </row>
    <row r="98" spans="1:14" ht="14.25" customHeight="1" x14ac:dyDescent="0.25">
      <c r="A98" s="12" t="s">
        <v>143</v>
      </c>
      <c r="B98" s="12" t="s">
        <v>44</v>
      </c>
      <c r="C98" s="14">
        <v>25160</v>
      </c>
      <c r="D98" s="17">
        <f t="shared" si="9"/>
        <v>1968</v>
      </c>
      <c r="E98" s="16">
        <f t="shared" si="8"/>
        <v>57</v>
      </c>
      <c r="F98" s="12" t="str">
        <f t="shared" si="10"/>
        <v>40=&lt;60</v>
      </c>
      <c r="G98" s="12" t="s">
        <v>40</v>
      </c>
      <c r="H98" s="13">
        <v>4696.58</v>
      </c>
      <c r="I98" s="12" t="str">
        <f t="shared" si="11"/>
        <v>4000=&lt;5000 AZN</v>
      </c>
      <c r="J98" s="13">
        <v>3371.71</v>
      </c>
      <c r="K98" s="12" t="str">
        <f t="shared" si="12"/>
        <v>3000=&lt;4000 AZN</v>
      </c>
      <c r="L98" s="13">
        <f t="shared" si="13"/>
        <v>1324.87</v>
      </c>
      <c r="M98" s="52" t="str">
        <f t="shared" si="14"/>
        <v>musbet</v>
      </c>
      <c r="N98" s="19" t="str">
        <f t="shared" si="15"/>
        <v>Ləman Təhmin 25160</v>
      </c>
    </row>
    <row r="99" spans="1:14" ht="14.25" customHeight="1" x14ac:dyDescent="0.25">
      <c r="A99" s="12" t="s">
        <v>144</v>
      </c>
      <c r="B99" s="12" t="s">
        <v>29</v>
      </c>
      <c r="C99" s="14">
        <v>33862</v>
      </c>
      <c r="D99" s="17">
        <f t="shared" si="9"/>
        <v>1992</v>
      </c>
      <c r="E99" s="16">
        <f t="shared" si="8"/>
        <v>33</v>
      </c>
      <c r="F99" s="12" t="str">
        <f t="shared" si="10"/>
        <v>30=&lt;40</v>
      </c>
      <c r="G99" s="12" t="s">
        <v>63</v>
      </c>
      <c r="H99" s="13">
        <v>2685.41</v>
      </c>
      <c r="I99" s="12" t="str">
        <f t="shared" si="11"/>
        <v>2000=&lt;3000 AZN</v>
      </c>
      <c r="J99" s="13">
        <v>1017.58</v>
      </c>
      <c r="K99" s="12" t="str">
        <f t="shared" si="12"/>
        <v>1000=&lt;2000 AZN</v>
      </c>
      <c r="L99" s="13">
        <f t="shared" si="13"/>
        <v>1667.83</v>
      </c>
      <c r="M99" s="52" t="str">
        <f t="shared" si="14"/>
        <v>musbet</v>
      </c>
      <c r="N99" s="19" t="str">
        <f t="shared" si="15"/>
        <v>Əhəd Bayramov 33862</v>
      </c>
    </row>
    <row r="100" spans="1:14" ht="14.25" customHeight="1" x14ac:dyDescent="0.25">
      <c r="A100" s="12" t="s">
        <v>145</v>
      </c>
      <c r="B100" s="12" t="s">
        <v>65</v>
      </c>
      <c r="C100" s="14">
        <v>36089</v>
      </c>
      <c r="D100" s="17">
        <f t="shared" si="9"/>
        <v>1998</v>
      </c>
      <c r="E100" s="16">
        <f t="shared" si="8"/>
        <v>27</v>
      </c>
      <c r="F100" s="12" t="str">
        <f t="shared" si="10"/>
        <v>20=&lt;30</v>
      </c>
      <c r="G100" s="12" t="s">
        <v>40</v>
      </c>
      <c r="H100" s="13">
        <v>1162.8499999999999</v>
      </c>
      <c r="I100" s="12" t="str">
        <f t="shared" si="11"/>
        <v>1000=&lt;2000 AZN</v>
      </c>
      <c r="J100" s="13">
        <v>1841.11</v>
      </c>
      <c r="K100" s="12" t="str">
        <f t="shared" si="12"/>
        <v>1000=&lt;2000 AZN</v>
      </c>
      <c r="L100" s="13">
        <f t="shared" si="13"/>
        <v>-678.26</v>
      </c>
      <c r="M100" s="52" t="str">
        <f t="shared" si="14"/>
        <v>menfi</v>
      </c>
      <c r="N100" s="19" t="str">
        <f t="shared" si="15"/>
        <v>Səlimə Cabbarov 36089</v>
      </c>
    </row>
    <row r="101" spans="1:14" ht="14.25" customHeight="1" x14ac:dyDescent="0.25">
      <c r="A101" s="12" t="s">
        <v>146</v>
      </c>
      <c r="B101" s="12" t="s">
        <v>65</v>
      </c>
      <c r="C101" s="14">
        <v>23083</v>
      </c>
      <c r="D101" s="17">
        <f t="shared" si="9"/>
        <v>1963</v>
      </c>
      <c r="E101" s="16">
        <f t="shared" si="8"/>
        <v>62</v>
      </c>
      <c r="F101" s="12" t="str">
        <f t="shared" si="10"/>
        <v>60=&lt;</v>
      </c>
      <c r="G101" s="12" t="s">
        <v>42</v>
      </c>
      <c r="H101" s="13">
        <v>356.95</v>
      </c>
      <c r="I101" s="12" t="str">
        <f t="shared" si="11"/>
        <v>&lt;1000 AZN</v>
      </c>
      <c r="J101" s="13">
        <v>2931.4</v>
      </c>
      <c r="K101" s="12" t="str">
        <f t="shared" si="12"/>
        <v>2000=&lt;3000 AZN</v>
      </c>
      <c r="L101" s="13">
        <f t="shared" si="13"/>
        <v>-2574.4500000000003</v>
      </c>
      <c r="M101" s="52" t="str">
        <f t="shared" si="14"/>
        <v>menfi</v>
      </c>
      <c r="N101" s="19" t="str">
        <f t="shared" si="15"/>
        <v>Mətanət Cabbarov 23083</v>
      </c>
    </row>
    <row r="102" spans="1:14" ht="14.25" customHeight="1" x14ac:dyDescent="0.25">
      <c r="A102" s="12" t="s">
        <v>147</v>
      </c>
      <c r="B102" s="12" t="s">
        <v>29</v>
      </c>
      <c r="C102" s="14">
        <v>32125</v>
      </c>
      <c r="D102" s="17">
        <f t="shared" si="9"/>
        <v>1987</v>
      </c>
      <c r="E102" s="16">
        <f t="shared" si="8"/>
        <v>38</v>
      </c>
      <c r="F102" s="12" t="str">
        <f t="shared" si="10"/>
        <v>30=&lt;40</v>
      </c>
      <c r="G102" s="12" t="s">
        <v>45</v>
      </c>
      <c r="H102" s="13">
        <v>856.99</v>
      </c>
      <c r="I102" s="12" t="str">
        <f t="shared" si="11"/>
        <v>&lt;1000 AZN</v>
      </c>
      <c r="J102" s="13">
        <v>1043.21</v>
      </c>
      <c r="K102" s="12" t="str">
        <f t="shared" si="12"/>
        <v>1000=&lt;2000 AZN</v>
      </c>
      <c r="L102" s="13">
        <f t="shared" si="13"/>
        <v>-186.22000000000003</v>
      </c>
      <c r="M102" s="52" t="str">
        <f t="shared" si="14"/>
        <v>menfi</v>
      </c>
      <c r="N102" s="19" t="str">
        <f t="shared" si="15"/>
        <v>Saleh Bayramov 32125</v>
      </c>
    </row>
    <row r="103" spans="1:14" ht="14.25" customHeight="1" x14ac:dyDescent="0.25">
      <c r="A103" s="12" t="s">
        <v>148</v>
      </c>
      <c r="B103" s="12" t="s">
        <v>39</v>
      </c>
      <c r="C103" s="14">
        <v>35918</v>
      </c>
      <c r="D103" s="17">
        <f t="shared" si="9"/>
        <v>1998</v>
      </c>
      <c r="E103" s="16">
        <f t="shared" si="8"/>
        <v>27</v>
      </c>
      <c r="F103" s="12" t="str">
        <f t="shared" si="10"/>
        <v>20=&lt;30</v>
      </c>
      <c r="G103" s="12" t="s">
        <v>40</v>
      </c>
      <c r="H103" s="13">
        <v>1219.67</v>
      </c>
      <c r="I103" s="12" t="str">
        <f t="shared" si="11"/>
        <v>1000=&lt;2000 AZN</v>
      </c>
      <c r="J103" s="13">
        <v>4416.3100000000004</v>
      </c>
      <c r="K103" s="12" t="str">
        <f t="shared" si="12"/>
        <v>4000=&lt;5000 AZN</v>
      </c>
      <c r="L103" s="13">
        <f t="shared" si="13"/>
        <v>-3196.6400000000003</v>
      </c>
      <c r="M103" s="52" t="str">
        <f t="shared" si="14"/>
        <v>menfi</v>
      </c>
      <c r="N103" s="19" t="str">
        <f t="shared" si="15"/>
        <v>Durna Düzgün 35918</v>
      </c>
    </row>
    <row r="104" spans="1:14" ht="14.25" customHeight="1" x14ac:dyDescent="0.25">
      <c r="A104" s="12" t="s">
        <v>149</v>
      </c>
      <c r="B104" s="12" t="s">
        <v>27</v>
      </c>
      <c r="C104" s="14">
        <v>21920</v>
      </c>
      <c r="D104" s="17">
        <f t="shared" si="9"/>
        <v>1960</v>
      </c>
      <c r="E104" s="16">
        <f t="shared" si="8"/>
        <v>65</v>
      </c>
      <c r="F104" s="12" t="str">
        <f t="shared" si="10"/>
        <v>60=&lt;</v>
      </c>
      <c r="G104" s="12" t="s">
        <v>58</v>
      </c>
      <c r="H104" s="13">
        <v>3493.1</v>
      </c>
      <c r="I104" s="12" t="str">
        <f t="shared" si="11"/>
        <v>3000=&lt;4000 AZN</v>
      </c>
      <c r="J104" s="13">
        <v>401.4</v>
      </c>
      <c r="K104" s="12" t="str">
        <f t="shared" si="12"/>
        <v>&lt;1000 AZN</v>
      </c>
      <c r="L104" s="13">
        <f t="shared" si="13"/>
        <v>3091.7</v>
      </c>
      <c r="M104" s="52" t="str">
        <f t="shared" si="14"/>
        <v>musbet</v>
      </c>
      <c r="N104" s="19" t="str">
        <f t="shared" si="15"/>
        <v>Günay Vurğun 21920</v>
      </c>
    </row>
    <row r="105" spans="1:14" ht="14.25" customHeight="1" x14ac:dyDescent="0.25">
      <c r="A105" s="12" t="s">
        <v>150</v>
      </c>
      <c r="B105" s="12" t="s">
        <v>48</v>
      </c>
      <c r="C105" s="14">
        <v>35843</v>
      </c>
      <c r="D105" s="17">
        <f t="shared" si="9"/>
        <v>1998</v>
      </c>
      <c r="E105" s="16">
        <f t="shared" si="8"/>
        <v>27</v>
      </c>
      <c r="F105" s="12" t="str">
        <f t="shared" si="10"/>
        <v>20=&lt;30</v>
      </c>
      <c r="G105" s="12" t="s">
        <v>45</v>
      </c>
      <c r="H105" s="13">
        <v>2269.41</v>
      </c>
      <c r="I105" s="12" t="str">
        <f t="shared" si="11"/>
        <v>2000=&lt;3000 AZN</v>
      </c>
      <c r="J105" s="13">
        <v>719.77</v>
      </c>
      <c r="K105" s="12" t="str">
        <f t="shared" si="12"/>
        <v>&lt;1000 AZN</v>
      </c>
      <c r="L105" s="13">
        <f t="shared" si="13"/>
        <v>1549.6399999999999</v>
      </c>
      <c r="M105" s="52" t="str">
        <f t="shared" si="14"/>
        <v>musbet</v>
      </c>
      <c r="N105" s="19" t="str">
        <f t="shared" si="15"/>
        <v>Nazimə Abbasbəyli 35843</v>
      </c>
    </row>
    <row r="106" spans="1:14" ht="14.25" customHeight="1" x14ac:dyDescent="0.25">
      <c r="A106" s="12" t="s">
        <v>151</v>
      </c>
      <c r="B106" s="12" t="s">
        <v>48</v>
      </c>
      <c r="C106" s="14">
        <v>27870</v>
      </c>
      <c r="D106" s="17">
        <f t="shared" si="9"/>
        <v>1976</v>
      </c>
      <c r="E106" s="16">
        <f t="shared" si="8"/>
        <v>49</v>
      </c>
      <c r="F106" s="12" t="str">
        <f t="shared" si="10"/>
        <v>40=&lt;60</v>
      </c>
      <c r="G106" s="12" t="s">
        <v>63</v>
      </c>
      <c r="H106" s="13">
        <v>2836.59</v>
      </c>
      <c r="I106" s="12" t="str">
        <f t="shared" si="11"/>
        <v>2000=&lt;3000 AZN</v>
      </c>
      <c r="J106" s="13">
        <v>1322.68</v>
      </c>
      <c r="K106" s="12" t="str">
        <f t="shared" si="12"/>
        <v>1000=&lt;2000 AZN</v>
      </c>
      <c r="L106" s="13">
        <f t="shared" si="13"/>
        <v>1513.91</v>
      </c>
      <c r="M106" s="52" t="str">
        <f t="shared" si="14"/>
        <v>musbet</v>
      </c>
      <c r="N106" s="19" t="str">
        <f t="shared" si="15"/>
        <v>Mehdiqulu Abbasbəyli 27870</v>
      </c>
    </row>
    <row r="107" spans="1:14" ht="14.25" customHeight="1" x14ac:dyDescent="0.25">
      <c r="A107" s="12" t="s">
        <v>152</v>
      </c>
      <c r="B107" s="12" t="s">
        <v>29</v>
      </c>
      <c r="C107" s="14">
        <v>37140</v>
      </c>
      <c r="D107" s="17">
        <f t="shared" si="9"/>
        <v>2001</v>
      </c>
      <c r="E107" s="16">
        <f t="shared" si="8"/>
        <v>24</v>
      </c>
      <c r="F107" s="12" t="str">
        <f t="shared" si="10"/>
        <v>20=&lt;30</v>
      </c>
      <c r="G107" s="12" t="s">
        <v>58</v>
      </c>
      <c r="H107" s="13">
        <v>4188.7299999999996</v>
      </c>
      <c r="I107" s="12" t="str">
        <f t="shared" si="11"/>
        <v>4000=&lt;5000 AZN</v>
      </c>
      <c r="J107" s="13">
        <v>4228.84</v>
      </c>
      <c r="K107" s="12" t="str">
        <f t="shared" si="12"/>
        <v>4000=&lt;5000 AZN</v>
      </c>
      <c r="L107" s="13">
        <f t="shared" si="13"/>
        <v>-40.110000000000582</v>
      </c>
      <c r="M107" s="52" t="str">
        <f t="shared" si="14"/>
        <v>menfi</v>
      </c>
      <c r="N107" s="19" t="str">
        <f t="shared" si="15"/>
        <v>Vidadi Bayramov 37140</v>
      </c>
    </row>
    <row r="108" spans="1:14" ht="14.25" customHeight="1" x14ac:dyDescent="0.25">
      <c r="A108" s="12" t="s">
        <v>153</v>
      </c>
      <c r="B108" s="12" t="s">
        <v>44</v>
      </c>
      <c r="C108" s="14">
        <v>24450</v>
      </c>
      <c r="D108" s="17">
        <f t="shared" si="9"/>
        <v>1966</v>
      </c>
      <c r="E108" s="16">
        <f t="shared" si="8"/>
        <v>59</v>
      </c>
      <c r="F108" s="12" t="str">
        <f t="shared" si="10"/>
        <v>40=&lt;60</v>
      </c>
      <c r="G108" s="12" t="s">
        <v>53</v>
      </c>
      <c r="H108" s="13">
        <v>2525.14</v>
      </c>
      <c r="I108" s="12" t="str">
        <f t="shared" si="11"/>
        <v>2000=&lt;3000 AZN</v>
      </c>
      <c r="J108" s="13">
        <v>2324.11</v>
      </c>
      <c r="K108" s="12" t="str">
        <f t="shared" si="12"/>
        <v>2000=&lt;3000 AZN</v>
      </c>
      <c r="L108" s="13">
        <f t="shared" si="13"/>
        <v>201.02999999999975</v>
      </c>
      <c r="M108" s="52" t="str">
        <f t="shared" si="14"/>
        <v>musbet</v>
      </c>
      <c r="N108" s="19" t="str">
        <f t="shared" si="15"/>
        <v>Qəşəm  Təhmin 24450</v>
      </c>
    </row>
    <row r="109" spans="1:14" ht="14.25" customHeight="1" x14ac:dyDescent="0.25">
      <c r="A109" s="12" t="s">
        <v>154</v>
      </c>
      <c r="B109" s="12" t="s">
        <v>48</v>
      </c>
      <c r="C109" s="14">
        <v>23531</v>
      </c>
      <c r="D109" s="17">
        <f t="shared" si="9"/>
        <v>1964</v>
      </c>
      <c r="E109" s="16">
        <f t="shared" si="8"/>
        <v>61</v>
      </c>
      <c r="F109" s="12" t="str">
        <f t="shared" si="10"/>
        <v>60=&lt;</v>
      </c>
      <c r="G109" s="12" t="s">
        <v>63</v>
      </c>
      <c r="H109" s="13">
        <v>2086.92</v>
      </c>
      <c r="I109" s="12" t="str">
        <f t="shared" si="11"/>
        <v>2000=&lt;3000 AZN</v>
      </c>
      <c r="J109" s="13">
        <v>4415.57</v>
      </c>
      <c r="K109" s="12" t="str">
        <f t="shared" si="12"/>
        <v>4000=&lt;5000 AZN</v>
      </c>
      <c r="L109" s="13">
        <f t="shared" si="13"/>
        <v>-2328.6499999999996</v>
      </c>
      <c r="M109" s="52" t="str">
        <f t="shared" si="14"/>
        <v>menfi</v>
      </c>
      <c r="N109" s="19" t="str">
        <f t="shared" si="15"/>
        <v>Behbud  Abbasbəyli 23531</v>
      </c>
    </row>
    <row r="110" spans="1:14" ht="14.25" customHeight="1" x14ac:dyDescent="0.25">
      <c r="A110" s="12" t="s">
        <v>155</v>
      </c>
      <c r="B110" s="12" t="s">
        <v>48</v>
      </c>
      <c r="C110" s="14">
        <v>28843</v>
      </c>
      <c r="D110" s="17">
        <f t="shared" si="9"/>
        <v>1978</v>
      </c>
      <c r="E110" s="16">
        <f t="shared" si="8"/>
        <v>47</v>
      </c>
      <c r="F110" s="12" t="str">
        <f t="shared" si="10"/>
        <v>40=&lt;60</v>
      </c>
      <c r="G110" s="12" t="s">
        <v>53</v>
      </c>
      <c r="H110" s="13">
        <v>455.79</v>
      </c>
      <c r="I110" s="12" t="str">
        <f t="shared" si="11"/>
        <v>&lt;1000 AZN</v>
      </c>
      <c r="J110" s="13">
        <v>3072.64</v>
      </c>
      <c r="K110" s="12" t="str">
        <f t="shared" si="12"/>
        <v>3000=&lt;4000 AZN</v>
      </c>
      <c r="L110" s="13">
        <f t="shared" si="13"/>
        <v>-2616.85</v>
      </c>
      <c r="M110" s="52" t="str">
        <f t="shared" si="14"/>
        <v>menfi</v>
      </c>
      <c r="N110" s="19" t="str">
        <f t="shared" si="15"/>
        <v>Fimar Abbasbəyli 28843</v>
      </c>
    </row>
    <row r="111" spans="1:14" ht="14.25" customHeight="1" x14ac:dyDescent="0.25">
      <c r="A111" s="12" t="s">
        <v>156</v>
      </c>
      <c r="B111" s="12" t="s">
        <v>39</v>
      </c>
      <c r="C111" s="14">
        <v>27291</v>
      </c>
      <c r="D111" s="17">
        <f t="shared" si="9"/>
        <v>1974</v>
      </c>
      <c r="E111" s="16">
        <f t="shared" si="8"/>
        <v>51</v>
      </c>
      <c r="F111" s="12" t="str">
        <f t="shared" si="10"/>
        <v>40=&lt;60</v>
      </c>
      <c r="G111" s="12" t="s">
        <v>45</v>
      </c>
      <c r="H111" s="13">
        <v>2778.61</v>
      </c>
      <c r="I111" s="12" t="str">
        <f t="shared" si="11"/>
        <v>2000=&lt;3000 AZN</v>
      </c>
      <c r="J111" s="13">
        <v>4265.3</v>
      </c>
      <c r="K111" s="12" t="str">
        <f t="shared" si="12"/>
        <v>4000=&lt;5000 AZN</v>
      </c>
      <c r="L111" s="13">
        <f t="shared" si="13"/>
        <v>-1486.69</v>
      </c>
      <c r="M111" s="52" t="str">
        <f t="shared" si="14"/>
        <v>menfi</v>
      </c>
      <c r="N111" s="19" t="str">
        <f t="shared" si="15"/>
        <v>Musa Düzgün 27291</v>
      </c>
    </row>
    <row r="112" spans="1:14" ht="14.25" customHeight="1" x14ac:dyDescent="0.25">
      <c r="A112" s="12" t="s">
        <v>157</v>
      </c>
      <c r="B112" s="12" t="s">
        <v>65</v>
      </c>
      <c r="C112" s="14">
        <v>33617</v>
      </c>
      <c r="D112" s="17">
        <f t="shared" si="9"/>
        <v>1992</v>
      </c>
      <c r="E112" s="16">
        <f t="shared" si="8"/>
        <v>33</v>
      </c>
      <c r="F112" s="12" t="str">
        <f t="shared" si="10"/>
        <v>30=&lt;40</v>
      </c>
      <c r="G112" s="12" t="s">
        <v>63</v>
      </c>
      <c r="H112" s="13">
        <v>4918.82</v>
      </c>
      <c r="I112" s="12" t="str">
        <f t="shared" si="11"/>
        <v>4000=&lt;5000 AZN</v>
      </c>
      <c r="J112" s="13">
        <v>1025.54</v>
      </c>
      <c r="K112" s="12" t="str">
        <f t="shared" si="12"/>
        <v>1000=&lt;2000 AZN</v>
      </c>
      <c r="L112" s="13">
        <f t="shared" si="13"/>
        <v>3893.2799999999997</v>
      </c>
      <c r="M112" s="52" t="str">
        <f t="shared" si="14"/>
        <v>musbet</v>
      </c>
      <c r="N112" s="19" t="str">
        <f t="shared" si="15"/>
        <v>Leyla Cabbarov 33617</v>
      </c>
    </row>
    <row r="113" spans="1:14" ht="14.25" customHeight="1" x14ac:dyDescent="0.25">
      <c r="A113" s="12" t="s">
        <v>158</v>
      </c>
      <c r="B113" s="12" t="s">
        <v>27</v>
      </c>
      <c r="C113" s="14">
        <v>28996</v>
      </c>
      <c r="D113" s="17">
        <f t="shared" si="9"/>
        <v>1979</v>
      </c>
      <c r="E113" s="16">
        <f t="shared" si="8"/>
        <v>46</v>
      </c>
      <c r="F113" s="12" t="str">
        <f t="shared" si="10"/>
        <v>40=&lt;60</v>
      </c>
      <c r="G113" s="12" t="s">
        <v>40</v>
      </c>
      <c r="H113" s="13">
        <v>3830.2</v>
      </c>
      <c r="I113" s="12" t="str">
        <f t="shared" si="11"/>
        <v>3000=&lt;4000 AZN</v>
      </c>
      <c r="J113" s="13">
        <v>3976.65</v>
      </c>
      <c r="K113" s="12" t="str">
        <f t="shared" si="12"/>
        <v>3000=&lt;4000 AZN</v>
      </c>
      <c r="L113" s="13">
        <f t="shared" si="13"/>
        <v>-146.45000000000027</v>
      </c>
      <c r="M113" s="52" t="str">
        <f t="shared" si="14"/>
        <v>menfi</v>
      </c>
      <c r="N113" s="19" t="str">
        <f t="shared" si="15"/>
        <v>Ayan Vurğun 28996</v>
      </c>
    </row>
    <row r="114" spans="1:14" ht="14.25" customHeight="1" x14ac:dyDescent="0.25">
      <c r="A114" s="12" t="s">
        <v>159</v>
      </c>
      <c r="B114" s="12" t="s">
        <v>39</v>
      </c>
      <c r="C114" s="14">
        <v>24726</v>
      </c>
      <c r="D114" s="17">
        <f t="shared" si="9"/>
        <v>1967</v>
      </c>
      <c r="E114" s="16">
        <f t="shared" si="8"/>
        <v>58</v>
      </c>
      <c r="F114" s="12" t="str">
        <f t="shared" si="10"/>
        <v>40=&lt;60</v>
      </c>
      <c r="G114" s="12" t="s">
        <v>51</v>
      </c>
      <c r="H114" s="13">
        <v>1153.1199999999999</v>
      </c>
      <c r="I114" s="12" t="str">
        <f t="shared" si="11"/>
        <v>1000=&lt;2000 AZN</v>
      </c>
      <c r="J114" s="13">
        <v>2009.18</v>
      </c>
      <c r="K114" s="12" t="str">
        <f t="shared" si="12"/>
        <v>2000=&lt;3000 AZN</v>
      </c>
      <c r="L114" s="13">
        <f t="shared" si="13"/>
        <v>-856.06000000000017</v>
      </c>
      <c r="M114" s="52" t="str">
        <f t="shared" si="14"/>
        <v>menfi</v>
      </c>
      <c r="N114" s="19" t="str">
        <f t="shared" si="15"/>
        <v>Həcər Düzgün 24726</v>
      </c>
    </row>
    <row r="115" spans="1:14" ht="14.25" customHeight="1" x14ac:dyDescent="0.25">
      <c r="A115" s="12" t="s">
        <v>160</v>
      </c>
      <c r="B115" s="12" t="s">
        <v>48</v>
      </c>
      <c r="C115" s="14">
        <v>36345</v>
      </c>
      <c r="D115" s="17">
        <f t="shared" si="9"/>
        <v>1999</v>
      </c>
      <c r="E115" s="16">
        <f t="shared" si="8"/>
        <v>26</v>
      </c>
      <c r="F115" s="12" t="str">
        <f t="shared" si="10"/>
        <v>20=&lt;30</v>
      </c>
      <c r="G115" s="12" t="s">
        <v>49</v>
      </c>
      <c r="H115" s="13">
        <v>3239.79</v>
      </c>
      <c r="I115" s="12" t="str">
        <f t="shared" si="11"/>
        <v>3000=&lt;4000 AZN</v>
      </c>
      <c r="J115" s="13">
        <v>1026.17</v>
      </c>
      <c r="K115" s="12" t="str">
        <f t="shared" si="12"/>
        <v>1000=&lt;2000 AZN</v>
      </c>
      <c r="L115" s="13">
        <f t="shared" si="13"/>
        <v>2213.62</v>
      </c>
      <c r="M115" s="52" t="str">
        <f t="shared" si="14"/>
        <v>musbet</v>
      </c>
      <c r="N115" s="19" t="str">
        <f t="shared" si="15"/>
        <v>Cabbar Abbasbəyli 36345</v>
      </c>
    </row>
    <row r="116" spans="1:14" ht="14.25" customHeight="1" x14ac:dyDescent="0.25">
      <c r="A116" s="12" t="s">
        <v>161</v>
      </c>
      <c r="B116" s="12" t="s">
        <v>30</v>
      </c>
      <c r="C116" s="14">
        <v>30572</v>
      </c>
      <c r="D116" s="17">
        <f t="shared" si="9"/>
        <v>1983</v>
      </c>
      <c r="E116" s="16">
        <f t="shared" si="8"/>
        <v>42</v>
      </c>
      <c r="F116" s="12" t="str">
        <f t="shared" si="10"/>
        <v>40=&lt;60</v>
      </c>
      <c r="G116" s="12" t="s">
        <v>51</v>
      </c>
      <c r="H116" s="13">
        <v>2175.31</v>
      </c>
      <c r="I116" s="12" t="str">
        <f t="shared" si="11"/>
        <v>2000=&lt;3000 AZN</v>
      </c>
      <c r="J116" s="13">
        <v>2874.46</v>
      </c>
      <c r="K116" s="12" t="str">
        <f t="shared" si="12"/>
        <v>2000=&lt;3000 AZN</v>
      </c>
      <c r="L116" s="13">
        <f t="shared" si="13"/>
        <v>-699.15000000000009</v>
      </c>
      <c r="M116" s="52" t="str">
        <f t="shared" si="14"/>
        <v>menfi</v>
      </c>
      <c r="N116" s="19" t="str">
        <f t="shared" si="15"/>
        <v>Şəfa Bəktaşi 30572</v>
      </c>
    </row>
    <row r="117" spans="1:14" ht="14.25" customHeight="1" x14ac:dyDescent="0.25">
      <c r="A117" s="12" t="s">
        <v>162</v>
      </c>
      <c r="B117" s="12" t="s">
        <v>39</v>
      </c>
      <c r="C117" s="14">
        <v>33364</v>
      </c>
      <c r="D117" s="17">
        <f t="shared" si="9"/>
        <v>1991</v>
      </c>
      <c r="E117" s="16">
        <f t="shared" si="8"/>
        <v>34</v>
      </c>
      <c r="F117" s="12" t="str">
        <f t="shared" si="10"/>
        <v>30=&lt;40</v>
      </c>
      <c r="G117" s="12" t="s">
        <v>40</v>
      </c>
      <c r="H117" s="13">
        <v>940.82</v>
      </c>
      <c r="I117" s="12" t="str">
        <f t="shared" si="11"/>
        <v>&lt;1000 AZN</v>
      </c>
      <c r="J117" s="13">
        <v>1165.55</v>
      </c>
      <c r="K117" s="12" t="str">
        <f t="shared" si="12"/>
        <v>1000=&lt;2000 AZN</v>
      </c>
      <c r="L117" s="13">
        <f t="shared" si="13"/>
        <v>-224.7299999999999</v>
      </c>
      <c r="M117" s="52" t="str">
        <f t="shared" si="14"/>
        <v>menfi</v>
      </c>
      <c r="N117" s="19" t="str">
        <f t="shared" si="15"/>
        <v>Tərlan Düzgün 33364</v>
      </c>
    </row>
    <row r="118" spans="1:14" ht="14.25" customHeight="1" x14ac:dyDescent="0.25">
      <c r="A118" s="12" t="s">
        <v>163</v>
      </c>
      <c r="B118" s="12" t="s">
        <v>30</v>
      </c>
      <c r="C118" s="14">
        <v>26491</v>
      </c>
      <c r="D118" s="17">
        <f t="shared" si="9"/>
        <v>1972</v>
      </c>
      <c r="E118" s="16">
        <f t="shared" si="8"/>
        <v>53</v>
      </c>
      <c r="F118" s="12" t="str">
        <f t="shared" si="10"/>
        <v>40=&lt;60</v>
      </c>
      <c r="G118" s="12" t="s">
        <v>40</v>
      </c>
      <c r="H118" s="13">
        <v>4080.74</v>
      </c>
      <c r="I118" s="12" t="str">
        <f t="shared" si="11"/>
        <v>4000=&lt;5000 AZN</v>
      </c>
      <c r="J118" s="13">
        <v>3080.52</v>
      </c>
      <c r="K118" s="12" t="str">
        <f t="shared" si="12"/>
        <v>3000=&lt;4000 AZN</v>
      </c>
      <c r="L118" s="13">
        <f t="shared" si="13"/>
        <v>1000.2199999999998</v>
      </c>
      <c r="M118" s="52" t="str">
        <f t="shared" si="14"/>
        <v>musbet</v>
      </c>
      <c r="N118" s="19" t="str">
        <f t="shared" si="15"/>
        <v>Fazil Bəktaşi 26491</v>
      </c>
    </row>
    <row r="119" spans="1:14" ht="14.25" customHeight="1" x14ac:dyDescent="0.25">
      <c r="A119" s="12" t="s">
        <v>164</v>
      </c>
      <c r="B119" s="12" t="s">
        <v>39</v>
      </c>
      <c r="C119" s="14">
        <v>31452</v>
      </c>
      <c r="D119" s="17">
        <f t="shared" si="9"/>
        <v>1986</v>
      </c>
      <c r="E119" s="16">
        <f t="shared" si="8"/>
        <v>39</v>
      </c>
      <c r="F119" s="12" t="str">
        <f t="shared" si="10"/>
        <v>30=&lt;40</v>
      </c>
      <c r="G119" s="12" t="s">
        <v>58</v>
      </c>
      <c r="H119" s="13">
        <v>4934.33</v>
      </c>
      <c r="I119" s="12" t="str">
        <f t="shared" si="11"/>
        <v>4000=&lt;5000 AZN</v>
      </c>
      <c r="J119" s="13">
        <v>2796.2</v>
      </c>
      <c r="K119" s="12" t="str">
        <f t="shared" si="12"/>
        <v>2000=&lt;3000 AZN</v>
      </c>
      <c r="L119" s="13">
        <f t="shared" si="13"/>
        <v>2138.13</v>
      </c>
      <c r="M119" s="52" t="str">
        <f t="shared" si="14"/>
        <v>musbet</v>
      </c>
      <c r="N119" s="19" t="str">
        <f t="shared" si="15"/>
        <v>Mübariz Düzgün 31452</v>
      </c>
    </row>
    <row r="120" spans="1:14" ht="14.25" customHeight="1" x14ac:dyDescent="0.25">
      <c r="A120" s="12" t="s">
        <v>165</v>
      </c>
      <c r="B120" s="12" t="s">
        <v>39</v>
      </c>
      <c r="C120" s="14">
        <v>28443</v>
      </c>
      <c r="D120" s="17">
        <f t="shared" si="9"/>
        <v>1977</v>
      </c>
      <c r="E120" s="16">
        <f t="shared" si="8"/>
        <v>48</v>
      </c>
      <c r="F120" s="12" t="str">
        <f t="shared" si="10"/>
        <v>40=&lt;60</v>
      </c>
      <c r="G120" s="12" t="s">
        <v>63</v>
      </c>
      <c r="H120" s="13">
        <v>3184.65</v>
      </c>
      <c r="I120" s="12" t="str">
        <f t="shared" si="11"/>
        <v>3000=&lt;4000 AZN</v>
      </c>
      <c r="J120" s="13">
        <v>1015.6</v>
      </c>
      <c r="K120" s="12" t="str">
        <f t="shared" si="12"/>
        <v>1000=&lt;2000 AZN</v>
      </c>
      <c r="L120" s="13">
        <f t="shared" si="13"/>
        <v>2169.0500000000002</v>
      </c>
      <c r="M120" s="52" t="str">
        <f t="shared" si="14"/>
        <v>musbet</v>
      </c>
      <c r="N120" s="19" t="str">
        <f t="shared" si="15"/>
        <v>Həci Düzgün 28443</v>
      </c>
    </row>
    <row r="121" spans="1:14" ht="14.25" customHeight="1" x14ac:dyDescent="0.25">
      <c r="A121" s="12" t="s">
        <v>166</v>
      </c>
      <c r="B121" s="12" t="s">
        <v>56</v>
      </c>
      <c r="C121" s="14">
        <v>29368</v>
      </c>
      <c r="D121" s="17">
        <f t="shared" si="9"/>
        <v>1980</v>
      </c>
      <c r="E121" s="16">
        <f t="shared" si="8"/>
        <v>45</v>
      </c>
      <c r="F121" s="12" t="str">
        <f t="shared" si="10"/>
        <v>40=&lt;60</v>
      </c>
      <c r="G121" s="12" t="s">
        <v>66</v>
      </c>
      <c r="H121" s="13">
        <v>2944.13</v>
      </c>
      <c r="I121" s="12" t="str">
        <f t="shared" si="11"/>
        <v>2000=&lt;3000 AZN</v>
      </c>
      <c r="J121" s="13">
        <v>1615.55</v>
      </c>
      <c r="K121" s="12" t="str">
        <f t="shared" si="12"/>
        <v>1000=&lt;2000 AZN</v>
      </c>
      <c r="L121" s="13">
        <f t="shared" si="13"/>
        <v>1328.5800000000002</v>
      </c>
      <c r="M121" s="52" t="str">
        <f t="shared" si="14"/>
        <v>musbet</v>
      </c>
      <c r="N121" s="19" t="str">
        <f t="shared" si="15"/>
        <v>Gəray Talıbzadə 29368</v>
      </c>
    </row>
    <row r="122" spans="1:14" ht="14.25" customHeight="1" x14ac:dyDescent="0.25">
      <c r="A122" s="12" t="s">
        <v>167</v>
      </c>
      <c r="B122" s="12" t="s">
        <v>65</v>
      </c>
      <c r="C122" s="14">
        <v>31043</v>
      </c>
      <c r="D122" s="17">
        <f t="shared" si="9"/>
        <v>1984</v>
      </c>
      <c r="E122" s="16">
        <f t="shared" si="8"/>
        <v>41</v>
      </c>
      <c r="F122" s="12" t="str">
        <f t="shared" si="10"/>
        <v>40=&lt;60</v>
      </c>
      <c r="G122" s="12" t="s">
        <v>40</v>
      </c>
      <c r="H122" s="13">
        <v>4715.16</v>
      </c>
      <c r="I122" s="12" t="str">
        <f t="shared" si="11"/>
        <v>4000=&lt;5000 AZN</v>
      </c>
      <c r="J122" s="13">
        <v>2592.13</v>
      </c>
      <c r="K122" s="12" t="str">
        <f t="shared" si="12"/>
        <v>2000=&lt;3000 AZN</v>
      </c>
      <c r="L122" s="13">
        <f t="shared" si="13"/>
        <v>2123.0299999999997</v>
      </c>
      <c r="M122" s="52" t="str">
        <f t="shared" si="14"/>
        <v>musbet</v>
      </c>
      <c r="N122" s="19" t="str">
        <f t="shared" si="15"/>
        <v>Cahan Cabbarov 31043</v>
      </c>
    </row>
    <row r="123" spans="1:14" ht="14.25" customHeight="1" x14ac:dyDescent="0.25">
      <c r="A123" s="12" t="s">
        <v>168</v>
      </c>
      <c r="B123" s="12" t="s">
        <v>26</v>
      </c>
      <c r="C123" s="14">
        <v>24203</v>
      </c>
      <c r="D123" s="17">
        <f t="shared" si="9"/>
        <v>1966</v>
      </c>
      <c r="E123" s="16">
        <f t="shared" si="8"/>
        <v>59</v>
      </c>
      <c r="F123" s="12" t="str">
        <f t="shared" si="10"/>
        <v>40=&lt;60</v>
      </c>
      <c r="G123" s="12" t="s">
        <v>66</v>
      </c>
      <c r="H123" s="13">
        <v>3269.31</v>
      </c>
      <c r="I123" s="12" t="str">
        <f t="shared" si="11"/>
        <v>3000=&lt;4000 AZN</v>
      </c>
      <c r="J123" s="13">
        <v>2603.34</v>
      </c>
      <c r="K123" s="12" t="str">
        <f t="shared" si="12"/>
        <v>2000=&lt;3000 AZN</v>
      </c>
      <c r="L123" s="13">
        <f t="shared" si="13"/>
        <v>665.9699999999998</v>
      </c>
      <c r="M123" s="52" t="str">
        <f t="shared" si="14"/>
        <v>musbet</v>
      </c>
      <c r="N123" s="19" t="str">
        <f t="shared" si="15"/>
        <v>Nuru Həsənli 24203</v>
      </c>
    </row>
    <row r="124" spans="1:14" ht="14.25" customHeight="1" x14ac:dyDescent="0.25">
      <c r="A124" s="12" t="s">
        <v>169</v>
      </c>
      <c r="B124" s="12" t="s">
        <v>28</v>
      </c>
      <c r="C124" s="14">
        <v>36950</v>
      </c>
      <c r="D124" s="17">
        <f t="shared" si="9"/>
        <v>2001</v>
      </c>
      <c r="E124" s="16">
        <f t="shared" si="8"/>
        <v>24</v>
      </c>
      <c r="F124" s="12" t="str">
        <f t="shared" si="10"/>
        <v>20=&lt;30</v>
      </c>
      <c r="G124" s="12" t="s">
        <v>40</v>
      </c>
      <c r="H124" s="13">
        <v>729.24</v>
      </c>
      <c r="I124" s="12" t="str">
        <f t="shared" si="11"/>
        <v>&lt;1000 AZN</v>
      </c>
      <c r="J124" s="13">
        <v>4959.28</v>
      </c>
      <c r="K124" s="12" t="str">
        <f t="shared" si="12"/>
        <v>4000=&lt;5000 AZN</v>
      </c>
      <c r="L124" s="13">
        <f t="shared" si="13"/>
        <v>-4230.04</v>
      </c>
      <c r="M124" s="52" t="str">
        <f t="shared" si="14"/>
        <v>menfi</v>
      </c>
      <c r="N124" s="19" t="str">
        <f t="shared" si="15"/>
        <v>Südabə Mirzəyev 36950</v>
      </c>
    </row>
    <row r="125" spans="1:14" ht="14.25" customHeight="1" x14ac:dyDescent="0.25">
      <c r="A125" s="12" t="s">
        <v>170</v>
      </c>
      <c r="B125" s="12" t="s">
        <v>48</v>
      </c>
      <c r="C125" s="14">
        <v>35296</v>
      </c>
      <c r="D125" s="17">
        <f t="shared" si="9"/>
        <v>1996</v>
      </c>
      <c r="E125" s="16">
        <f t="shared" si="8"/>
        <v>29</v>
      </c>
      <c r="F125" s="12" t="str">
        <f t="shared" si="10"/>
        <v>20=&lt;30</v>
      </c>
      <c r="G125" s="12" t="s">
        <v>45</v>
      </c>
      <c r="H125" s="13">
        <v>1391.07</v>
      </c>
      <c r="I125" s="12" t="str">
        <f t="shared" si="11"/>
        <v>1000=&lt;2000 AZN</v>
      </c>
      <c r="J125" s="13">
        <v>2529.8200000000002</v>
      </c>
      <c r="K125" s="12" t="str">
        <f t="shared" si="12"/>
        <v>2000=&lt;3000 AZN</v>
      </c>
      <c r="L125" s="13">
        <f t="shared" si="13"/>
        <v>-1138.7500000000002</v>
      </c>
      <c r="M125" s="52" t="str">
        <f t="shared" si="14"/>
        <v>menfi</v>
      </c>
      <c r="N125" s="19" t="str">
        <f t="shared" si="15"/>
        <v>Fərman Abbasbəyli 35296</v>
      </c>
    </row>
    <row r="126" spans="1:14" ht="14.25" customHeight="1" x14ac:dyDescent="0.25">
      <c r="A126" s="12" t="s">
        <v>19</v>
      </c>
      <c r="B126" s="12" t="s">
        <v>39</v>
      </c>
      <c r="C126" s="14">
        <v>31077</v>
      </c>
      <c r="D126" s="17">
        <f t="shared" si="9"/>
        <v>1985</v>
      </c>
      <c r="E126" s="16">
        <f t="shared" si="8"/>
        <v>40</v>
      </c>
      <c r="F126" s="12" t="str">
        <f t="shared" si="10"/>
        <v>40=&lt;60</v>
      </c>
      <c r="G126" s="12" t="s">
        <v>51</v>
      </c>
      <c r="H126" s="13">
        <v>2461.0300000000002</v>
      </c>
      <c r="I126" s="12" t="str">
        <f t="shared" si="11"/>
        <v>2000=&lt;3000 AZN</v>
      </c>
      <c r="J126" s="13">
        <v>4815.6400000000003</v>
      </c>
      <c r="K126" s="12" t="str">
        <f t="shared" si="12"/>
        <v>4000=&lt;5000 AZN</v>
      </c>
      <c r="L126" s="13">
        <f t="shared" si="13"/>
        <v>-2354.61</v>
      </c>
      <c r="M126" s="52" t="str">
        <f t="shared" si="14"/>
        <v>menfi</v>
      </c>
      <c r="N126" s="19" t="str">
        <f t="shared" si="15"/>
        <v>Sədaqət Düzgün 31077</v>
      </c>
    </row>
    <row r="127" spans="1:14" ht="14.25" customHeight="1" x14ac:dyDescent="0.25">
      <c r="A127" s="12" t="s">
        <v>171</v>
      </c>
      <c r="B127" s="12" t="s">
        <v>65</v>
      </c>
      <c r="C127" s="14">
        <v>35402</v>
      </c>
      <c r="D127" s="17">
        <f t="shared" si="9"/>
        <v>1996</v>
      </c>
      <c r="E127" s="16">
        <f t="shared" si="8"/>
        <v>29</v>
      </c>
      <c r="F127" s="12" t="str">
        <f t="shared" si="10"/>
        <v>20=&lt;30</v>
      </c>
      <c r="G127" s="12" t="s">
        <v>53</v>
      </c>
      <c r="H127" s="13">
        <v>4970.75</v>
      </c>
      <c r="I127" s="12" t="str">
        <f t="shared" si="11"/>
        <v>4000=&lt;5000 AZN</v>
      </c>
      <c r="J127" s="13">
        <v>1757.41</v>
      </c>
      <c r="K127" s="12" t="str">
        <f t="shared" si="12"/>
        <v>1000=&lt;2000 AZN</v>
      </c>
      <c r="L127" s="13">
        <f t="shared" si="13"/>
        <v>3213.34</v>
      </c>
      <c r="M127" s="52" t="str">
        <f t="shared" si="14"/>
        <v>musbet</v>
      </c>
      <c r="N127" s="19" t="str">
        <f t="shared" si="15"/>
        <v>Sara Cabbarov 35402</v>
      </c>
    </row>
    <row r="128" spans="1:14" ht="14.25" customHeight="1" x14ac:dyDescent="0.25">
      <c r="A128" s="12" t="s">
        <v>172</v>
      </c>
      <c r="B128" s="12" t="s">
        <v>30</v>
      </c>
      <c r="C128" s="14">
        <v>36471</v>
      </c>
      <c r="D128" s="17">
        <f t="shared" si="9"/>
        <v>1999</v>
      </c>
      <c r="E128" s="16">
        <f t="shared" si="8"/>
        <v>26</v>
      </c>
      <c r="F128" s="12" t="str">
        <f t="shared" si="10"/>
        <v>20=&lt;30</v>
      </c>
      <c r="G128" s="12" t="s">
        <v>58</v>
      </c>
      <c r="H128" s="13">
        <v>4721.47</v>
      </c>
      <c r="I128" s="12" t="str">
        <f t="shared" si="11"/>
        <v>4000=&lt;5000 AZN</v>
      </c>
      <c r="J128" s="13">
        <v>4508.5200000000004</v>
      </c>
      <c r="K128" s="12" t="str">
        <f t="shared" si="12"/>
        <v>4000=&lt;5000 AZN</v>
      </c>
      <c r="L128" s="13">
        <f t="shared" si="13"/>
        <v>212.94999999999982</v>
      </c>
      <c r="M128" s="52" t="str">
        <f t="shared" si="14"/>
        <v>musbet</v>
      </c>
      <c r="N128" s="19" t="str">
        <f t="shared" si="15"/>
        <v>Ceyran Bəktaşi 36471</v>
      </c>
    </row>
    <row r="129" spans="1:14" ht="14.25" customHeight="1" x14ac:dyDescent="0.25">
      <c r="A129" s="12" t="s">
        <v>173</v>
      </c>
      <c r="B129" s="12" t="s">
        <v>30</v>
      </c>
      <c r="C129" s="14">
        <v>24610</v>
      </c>
      <c r="D129" s="17">
        <f t="shared" si="9"/>
        <v>1967</v>
      </c>
      <c r="E129" s="16">
        <f t="shared" si="8"/>
        <v>58</v>
      </c>
      <c r="F129" s="12" t="str">
        <f t="shared" si="10"/>
        <v>40=&lt;60</v>
      </c>
      <c r="G129" s="12" t="s">
        <v>60</v>
      </c>
      <c r="H129" s="13">
        <v>3569.69</v>
      </c>
      <c r="I129" s="12" t="str">
        <f t="shared" si="11"/>
        <v>3000=&lt;4000 AZN</v>
      </c>
      <c r="J129" s="13">
        <v>3972.81</v>
      </c>
      <c r="K129" s="12" t="str">
        <f t="shared" si="12"/>
        <v>3000=&lt;4000 AZN</v>
      </c>
      <c r="L129" s="13">
        <f t="shared" si="13"/>
        <v>-403.11999999999989</v>
      </c>
      <c r="M129" s="52" t="str">
        <f t="shared" si="14"/>
        <v>menfi</v>
      </c>
      <c r="N129" s="19" t="str">
        <f t="shared" si="15"/>
        <v>Səhər Bəktaşi 24610</v>
      </c>
    </row>
    <row r="130" spans="1:14" ht="14.25" customHeight="1" x14ac:dyDescent="0.25">
      <c r="A130" s="12" t="s">
        <v>174</v>
      </c>
      <c r="B130" s="12" t="s">
        <v>65</v>
      </c>
      <c r="C130" s="14">
        <v>27849</v>
      </c>
      <c r="D130" s="17">
        <f t="shared" si="9"/>
        <v>1976</v>
      </c>
      <c r="E130" s="16">
        <f t="shared" ref="E130:E193" si="16">2025-D130</f>
        <v>49</v>
      </c>
      <c r="F130" s="12" t="str">
        <f t="shared" si="10"/>
        <v>40=&lt;60</v>
      </c>
      <c r="G130" s="12" t="s">
        <v>53</v>
      </c>
      <c r="H130" s="13">
        <v>2088.85</v>
      </c>
      <c r="I130" s="12" t="str">
        <f t="shared" si="11"/>
        <v>2000=&lt;3000 AZN</v>
      </c>
      <c r="J130" s="13">
        <v>2936.78</v>
      </c>
      <c r="K130" s="12" t="str">
        <f t="shared" si="12"/>
        <v>2000=&lt;3000 AZN</v>
      </c>
      <c r="L130" s="13">
        <f t="shared" si="13"/>
        <v>-847.93000000000029</v>
      </c>
      <c r="M130" s="52" t="str">
        <f t="shared" si="14"/>
        <v>menfi</v>
      </c>
      <c r="N130" s="19" t="str">
        <f t="shared" si="15"/>
        <v>Sevinc Cabbarov 27849</v>
      </c>
    </row>
    <row r="131" spans="1:14" ht="14.25" customHeight="1" x14ac:dyDescent="0.25">
      <c r="A131" s="12" t="s">
        <v>175</v>
      </c>
      <c r="B131" s="12" t="s">
        <v>28</v>
      </c>
      <c r="C131" s="14">
        <v>27544</v>
      </c>
      <c r="D131" s="17">
        <f t="shared" ref="D131:D194" si="17">YEAR(C131)</f>
        <v>1975</v>
      </c>
      <c r="E131" s="16">
        <f t="shared" si="16"/>
        <v>50</v>
      </c>
      <c r="F131" s="12" t="str">
        <f t="shared" ref="F131:F194" si="18">IF(AND(E131&gt;=0,E131&lt;20),"0=&lt;20",IF(AND(E131&gt;=20,E131&lt;30),"20=&lt;30",IF(AND(E131&gt;=30,E131&lt;40),"30=&lt;40",IF(AND(E131&gt;=40,E131&lt;60),"40=&lt;60",IF(AND(E131&gt;=60),"60=&lt;")))))</f>
        <v>40=&lt;60</v>
      </c>
      <c r="G131" s="12" t="s">
        <v>49</v>
      </c>
      <c r="H131" s="13">
        <v>2187.98</v>
      </c>
      <c r="I131" s="12" t="str">
        <f t="shared" ref="I131:I194" si="19">IF(AND(H131&lt;1000),"&lt;1000 AZN",IF(AND(H131&gt;=1000,H131&lt;2000),"1000=&lt;2000 AZN",IF(AND(H131&gt;=2000,H131&lt;3000),"2000=&lt;3000 AZN",IF(AND(H131&gt;=3000,H131&lt;4000),"3000=&lt;4000 AZN",IF(AND(H131&gt;=4000,H131&lt;5000),"4000=&lt;5000 AZN",IF(AND(H131&gt;=5000,),"5000=&lt;  AZN"))))))</f>
        <v>2000=&lt;3000 AZN</v>
      </c>
      <c r="J131" s="13">
        <v>3110.4</v>
      </c>
      <c r="K131" s="12" t="str">
        <f t="shared" ref="K131:K194" si="20">IF(AND(J131&lt;1000),"&lt;1000 AZN",IF(AND(J131&gt;=1000,J131&lt;2000),"1000=&lt;2000 AZN",IF(AND(J131&gt;=2000,J131&lt;3000),"2000=&lt;3000 AZN",IF(AND(J131&gt;=3000,J131&lt;4000),"3000=&lt;4000 AZN",IF(AND(J131&gt;=4000,J131&lt;5000),"4000=&lt;5000 AZN",IF(AND(J131&gt;=5000,),"5000=&lt;  AZN"))))))</f>
        <v>3000=&lt;4000 AZN</v>
      </c>
      <c r="L131" s="13">
        <f t="shared" ref="L131:L194" si="21">H131-J131</f>
        <v>-922.42000000000007</v>
      </c>
      <c r="M131" s="52" t="str">
        <f t="shared" ref="M131:M194" si="22">IF(L131&lt;0,"menfi","musbet")</f>
        <v>menfi</v>
      </c>
      <c r="N131" s="19" t="str">
        <f t="shared" ref="N131:N194" si="23">_xlfn.CONCAT(A131," ",B131," ",C131)</f>
        <v>Zahid Mirzəyev 27544</v>
      </c>
    </row>
    <row r="132" spans="1:14" ht="14.25" customHeight="1" x14ac:dyDescent="0.25">
      <c r="A132" s="12" t="s">
        <v>176</v>
      </c>
      <c r="B132" s="12" t="s">
        <v>29</v>
      </c>
      <c r="C132" s="14">
        <v>34422</v>
      </c>
      <c r="D132" s="17">
        <f t="shared" si="17"/>
        <v>1994</v>
      </c>
      <c r="E132" s="16">
        <f t="shared" si="16"/>
        <v>31</v>
      </c>
      <c r="F132" s="12" t="str">
        <f t="shared" si="18"/>
        <v>30=&lt;40</v>
      </c>
      <c r="G132" s="12" t="s">
        <v>58</v>
      </c>
      <c r="H132" s="13">
        <v>4894.1400000000003</v>
      </c>
      <c r="I132" s="12" t="str">
        <f t="shared" si="19"/>
        <v>4000=&lt;5000 AZN</v>
      </c>
      <c r="J132" s="13">
        <v>4166.8999999999996</v>
      </c>
      <c r="K132" s="12" t="str">
        <f t="shared" si="20"/>
        <v>4000=&lt;5000 AZN</v>
      </c>
      <c r="L132" s="13">
        <f t="shared" si="21"/>
        <v>727.24000000000069</v>
      </c>
      <c r="M132" s="52" t="str">
        <f t="shared" si="22"/>
        <v>musbet</v>
      </c>
      <c r="N132" s="19" t="str">
        <f t="shared" si="23"/>
        <v>Baba Bayramov 34422</v>
      </c>
    </row>
    <row r="133" spans="1:14" ht="14.25" customHeight="1" x14ac:dyDescent="0.25">
      <c r="A133" s="12" t="s">
        <v>177</v>
      </c>
      <c r="B133" s="12" t="s">
        <v>39</v>
      </c>
      <c r="C133" s="14">
        <v>29942</v>
      </c>
      <c r="D133" s="17">
        <f t="shared" si="17"/>
        <v>1981</v>
      </c>
      <c r="E133" s="16">
        <f t="shared" si="16"/>
        <v>44</v>
      </c>
      <c r="F133" s="12" t="str">
        <f t="shared" si="18"/>
        <v>40=&lt;60</v>
      </c>
      <c r="G133" s="12" t="s">
        <v>63</v>
      </c>
      <c r="H133" s="13">
        <v>3874.05</v>
      </c>
      <c r="I133" s="12" t="str">
        <f t="shared" si="19"/>
        <v>3000=&lt;4000 AZN</v>
      </c>
      <c r="J133" s="13">
        <v>3828.96</v>
      </c>
      <c r="K133" s="12" t="str">
        <f t="shared" si="20"/>
        <v>3000=&lt;4000 AZN</v>
      </c>
      <c r="L133" s="13">
        <f t="shared" si="21"/>
        <v>45.090000000000146</v>
      </c>
      <c r="M133" s="52" t="str">
        <f t="shared" si="22"/>
        <v>musbet</v>
      </c>
      <c r="N133" s="19" t="str">
        <f t="shared" si="23"/>
        <v>Fərrux Düzgün 29942</v>
      </c>
    </row>
    <row r="134" spans="1:14" ht="14.25" customHeight="1" x14ac:dyDescent="0.25">
      <c r="A134" s="12" t="s">
        <v>178</v>
      </c>
      <c r="B134" s="12" t="s">
        <v>44</v>
      </c>
      <c r="C134" s="14">
        <v>29576</v>
      </c>
      <c r="D134" s="17">
        <f t="shared" si="17"/>
        <v>1980</v>
      </c>
      <c r="E134" s="16">
        <f t="shared" si="16"/>
        <v>45</v>
      </c>
      <c r="F134" s="12" t="str">
        <f t="shared" si="18"/>
        <v>40=&lt;60</v>
      </c>
      <c r="G134" s="12" t="s">
        <v>45</v>
      </c>
      <c r="H134" s="13">
        <v>775.39</v>
      </c>
      <c r="I134" s="12" t="str">
        <f t="shared" si="19"/>
        <v>&lt;1000 AZN</v>
      </c>
      <c r="J134" s="13">
        <v>1858.66</v>
      </c>
      <c r="K134" s="12" t="str">
        <f t="shared" si="20"/>
        <v>1000=&lt;2000 AZN</v>
      </c>
      <c r="L134" s="13">
        <f t="shared" si="21"/>
        <v>-1083.27</v>
      </c>
      <c r="M134" s="52" t="str">
        <f t="shared" si="22"/>
        <v>menfi</v>
      </c>
      <c r="N134" s="19" t="str">
        <f t="shared" si="23"/>
        <v>Sayalı Təhmin 29576</v>
      </c>
    </row>
    <row r="135" spans="1:14" ht="14.25" customHeight="1" x14ac:dyDescent="0.25">
      <c r="A135" s="12" t="s">
        <v>179</v>
      </c>
      <c r="B135" s="12" t="s">
        <v>30</v>
      </c>
      <c r="C135" s="14">
        <v>23668</v>
      </c>
      <c r="D135" s="17">
        <f t="shared" si="17"/>
        <v>1964</v>
      </c>
      <c r="E135" s="16">
        <f t="shared" si="16"/>
        <v>61</v>
      </c>
      <c r="F135" s="12" t="str">
        <f t="shared" si="18"/>
        <v>60=&lt;</v>
      </c>
      <c r="G135" s="12" t="s">
        <v>45</v>
      </c>
      <c r="H135" s="13">
        <v>3604.38</v>
      </c>
      <c r="I135" s="12" t="str">
        <f t="shared" si="19"/>
        <v>3000=&lt;4000 AZN</v>
      </c>
      <c r="J135" s="13">
        <v>419.65</v>
      </c>
      <c r="K135" s="12" t="str">
        <f t="shared" si="20"/>
        <v>&lt;1000 AZN</v>
      </c>
      <c r="L135" s="13">
        <f t="shared" si="21"/>
        <v>3184.73</v>
      </c>
      <c r="M135" s="52" t="str">
        <f t="shared" si="22"/>
        <v>musbet</v>
      </c>
      <c r="N135" s="19" t="str">
        <f t="shared" si="23"/>
        <v>Yalçın Bəktaşi 23668</v>
      </c>
    </row>
    <row r="136" spans="1:14" ht="14.25" customHeight="1" x14ac:dyDescent="0.25">
      <c r="A136" s="12" t="s">
        <v>180</v>
      </c>
      <c r="B136" s="12" t="s">
        <v>65</v>
      </c>
      <c r="C136" s="14">
        <v>33409</v>
      </c>
      <c r="D136" s="17">
        <f t="shared" si="17"/>
        <v>1991</v>
      </c>
      <c r="E136" s="16">
        <f t="shared" si="16"/>
        <v>34</v>
      </c>
      <c r="F136" s="12" t="str">
        <f t="shared" si="18"/>
        <v>30=&lt;40</v>
      </c>
      <c r="G136" s="12" t="s">
        <v>66</v>
      </c>
      <c r="H136" s="13">
        <v>4942.09</v>
      </c>
      <c r="I136" s="12" t="str">
        <f t="shared" si="19"/>
        <v>4000=&lt;5000 AZN</v>
      </c>
      <c r="J136" s="13">
        <v>2529.6799999999998</v>
      </c>
      <c r="K136" s="12" t="str">
        <f t="shared" si="20"/>
        <v>2000=&lt;3000 AZN</v>
      </c>
      <c r="L136" s="13">
        <f t="shared" si="21"/>
        <v>2412.4100000000003</v>
      </c>
      <c r="M136" s="52" t="str">
        <f t="shared" si="22"/>
        <v>musbet</v>
      </c>
      <c r="N136" s="19" t="str">
        <f t="shared" si="23"/>
        <v>Çingiz Cabbarov 33409</v>
      </c>
    </row>
    <row r="137" spans="1:14" ht="14.25" customHeight="1" x14ac:dyDescent="0.25">
      <c r="A137" s="12" t="s">
        <v>181</v>
      </c>
      <c r="B137" s="12" t="s">
        <v>26</v>
      </c>
      <c r="C137" s="14">
        <v>23948</v>
      </c>
      <c r="D137" s="17">
        <f t="shared" si="17"/>
        <v>1965</v>
      </c>
      <c r="E137" s="16">
        <f t="shared" si="16"/>
        <v>60</v>
      </c>
      <c r="F137" s="12" t="str">
        <f t="shared" si="18"/>
        <v>60=&lt;</v>
      </c>
      <c r="G137" s="12" t="s">
        <v>40</v>
      </c>
      <c r="H137" s="13">
        <v>3343.94</v>
      </c>
      <c r="I137" s="12" t="str">
        <f t="shared" si="19"/>
        <v>3000=&lt;4000 AZN</v>
      </c>
      <c r="J137" s="13">
        <v>3855.97</v>
      </c>
      <c r="K137" s="12" t="str">
        <f t="shared" si="20"/>
        <v>3000=&lt;4000 AZN</v>
      </c>
      <c r="L137" s="13">
        <f t="shared" si="21"/>
        <v>-512.02999999999975</v>
      </c>
      <c r="M137" s="52" t="str">
        <f t="shared" si="22"/>
        <v>menfi</v>
      </c>
      <c r="N137" s="19" t="str">
        <f t="shared" si="23"/>
        <v>Elmira Həsənli 23948</v>
      </c>
    </row>
    <row r="138" spans="1:14" ht="14.25" customHeight="1" x14ac:dyDescent="0.25">
      <c r="A138" s="12" t="s">
        <v>182</v>
      </c>
      <c r="B138" s="12" t="s">
        <v>27</v>
      </c>
      <c r="C138" s="14">
        <v>31750</v>
      </c>
      <c r="D138" s="17">
        <f t="shared" si="17"/>
        <v>1986</v>
      </c>
      <c r="E138" s="16">
        <f t="shared" si="16"/>
        <v>39</v>
      </c>
      <c r="F138" s="12" t="str">
        <f t="shared" si="18"/>
        <v>30=&lt;40</v>
      </c>
      <c r="G138" s="12" t="s">
        <v>63</v>
      </c>
      <c r="H138" s="13">
        <v>3893.81</v>
      </c>
      <c r="I138" s="12" t="str">
        <f t="shared" si="19"/>
        <v>3000=&lt;4000 AZN</v>
      </c>
      <c r="J138" s="13">
        <v>1600.74</v>
      </c>
      <c r="K138" s="12" t="str">
        <f t="shared" si="20"/>
        <v>1000=&lt;2000 AZN</v>
      </c>
      <c r="L138" s="13">
        <f t="shared" si="21"/>
        <v>2293.0699999999997</v>
      </c>
      <c r="M138" s="52" t="str">
        <f t="shared" si="22"/>
        <v>musbet</v>
      </c>
      <c r="N138" s="19" t="str">
        <f t="shared" si="23"/>
        <v>Sücəddin Vurğun 31750</v>
      </c>
    </row>
    <row r="139" spans="1:14" ht="14.25" customHeight="1" x14ac:dyDescent="0.25">
      <c r="A139" s="12" t="s">
        <v>183</v>
      </c>
      <c r="B139" s="12" t="s">
        <v>39</v>
      </c>
      <c r="C139" s="14">
        <v>22405</v>
      </c>
      <c r="D139" s="17">
        <f t="shared" si="17"/>
        <v>1961</v>
      </c>
      <c r="E139" s="16">
        <f t="shared" si="16"/>
        <v>64</v>
      </c>
      <c r="F139" s="12" t="str">
        <f t="shared" si="18"/>
        <v>60=&lt;</v>
      </c>
      <c r="G139" s="12" t="s">
        <v>53</v>
      </c>
      <c r="H139" s="13">
        <v>4096.49</v>
      </c>
      <c r="I139" s="12" t="str">
        <f t="shared" si="19"/>
        <v>4000=&lt;5000 AZN</v>
      </c>
      <c r="J139" s="13">
        <v>950.39</v>
      </c>
      <c r="K139" s="12" t="str">
        <f t="shared" si="20"/>
        <v>&lt;1000 AZN</v>
      </c>
      <c r="L139" s="13">
        <f t="shared" si="21"/>
        <v>3146.1</v>
      </c>
      <c r="M139" s="52" t="str">
        <f t="shared" si="22"/>
        <v>musbet</v>
      </c>
      <c r="N139" s="19" t="str">
        <f t="shared" si="23"/>
        <v>Firuzə Düzgün 22405</v>
      </c>
    </row>
    <row r="140" spans="1:14" ht="14.25" customHeight="1" x14ac:dyDescent="0.25">
      <c r="A140" s="12" t="s">
        <v>184</v>
      </c>
      <c r="B140" s="12" t="s">
        <v>30</v>
      </c>
      <c r="C140" s="14">
        <v>34693</v>
      </c>
      <c r="D140" s="17">
        <f t="shared" si="17"/>
        <v>1994</v>
      </c>
      <c r="E140" s="16">
        <f t="shared" si="16"/>
        <v>31</v>
      </c>
      <c r="F140" s="12" t="str">
        <f t="shared" si="18"/>
        <v>30=&lt;40</v>
      </c>
      <c r="G140" s="12" t="s">
        <v>53</v>
      </c>
      <c r="H140" s="13">
        <v>2014.34</v>
      </c>
      <c r="I140" s="12" t="str">
        <f t="shared" si="19"/>
        <v>2000=&lt;3000 AZN</v>
      </c>
      <c r="J140" s="13">
        <v>1178.44</v>
      </c>
      <c r="K140" s="12" t="str">
        <f t="shared" si="20"/>
        <v>1000=&lt;2000 AZN</v>
      </c>
      <c r="L140" s="13">
        <f t="shared" si="21"/>
        <v>835.89999999999986</v>
      </c>
      <c r="M140" s="52" t="str">
        <f t="shared" si="22"/>
        <v>musbet</v>
      </c>
      <c r="N140" s="19" t="str">
        <f t="shared" si="23"/>
        <v>Razi Bəktaşi 34693</v>
      </c>
    </row>
    <row r="141" spans="1:14" ht="14.25" customHeight="1" x14ac:dyDescent="0.25">
      <c r="A141" s="12" t="s">
        <v>185</v>
      </c>
      <c r="B141" s="12" t="s">
        <v>48</v>
      </c>
      <c r="C141" s="14">
        <v>36948</v>
      </c>
      <c r="D141" s="17">
        <f t="shared" si="17"/>
        <v>2001</v>
      </c>
      <c r="E141" s="16">
        <f t="shared" si="16"/>
        <v>24</v>
      </c>
      <c r="F141" s="12" t="str">
        <f t="shared" si="18"/>
        <v>20=&lt;30</v>
      </c>
      <c r="G141" s="12" t="s">
        <v>49</v>
      </c>
      <c r="H141" s="13">
        <v>841.53</v>
      </c>
      <c r="I141" s="12" t="str">
        <f t="shared" si="19"/>
        <v>&lt;1000 AZN</v>
      </c>
      <c r="J141" s="13">
        <v>3561.92</v>
      </c>
      <c r="K141" s="12" t="str">
        <f t="shared" si="20"/>
        <v>3000=&lt;4000 AZN</v>
      </c>
      <c r="L141" s="13">
        <f t="shared" si="21"/>
        <v>-2720.3900000000003</v>
      </c>
      <c r="M141" s="52" t="str">
        <f t="shared" si="22"/>
        <v>menfi</v>
      </c>
      <c r="N141" s="19" t="str">
        <f t="shared" si="23"/>
        <v>Uğur Abbasbəyli 36948</v>
      </c>
    </row>
    <row r="142" spans="1:14" ht="14.25" customHeight="1" x14ac:dyDescent="0.25">
      <c r="A142" s="12" t="s">
        <v>186</v>
      </c>
      <c r="B142" s="12" t="s">
        <v>26</v>
      </c>
      <c r="C142" s="14">
        <v>28087</v>
      </c>
      <c r="D142" s="17">
        <f t="shared" si="17"/>
        <v>1976</v>
      </c>
      <c r="E142" s="16">
        <f t="shared" si="16"/>
        <v>49</v>
      </c>
      <c r="F142" s="12" t="str">
        <f t="shared" si="18"/>
        <v>40=&lt;60</v>
      </c>
      <c r="G142" s="12" t="s">
        <v>60</v>
      </c>
      <c r="H142" s="13">
        <v>317.62</v>
      </c>
      <c r="I142" s="12" t="str">
        <f t="shared" si="19"/>
        <v>&lt;1000 AZN</v>
      </c>
      <c r="J142" s="13">
        <v>2895.54</v>
      </c>
      <c r="K142" s="12" t="str">
        <f t="shared" si="20"/>
        <v>2000=&lt;3000 AZN</v>
      </c>
      <c r="L142" s="13">
        <f t="shared" si="21"/>
        <v>-2577.92</v>
      </c>
      <c r="M142" s="52" t="str">
        <f t="shared" si="22"/>
        <v>menfi</v>
      </c>
      <c r="N142" s="19" t="str">
        <f t="shared" si="23"/>
        <v>Cəlal Həsənli 28087</v>
      </c>
    </row>
    <row r="143" spans="1:14" ht="14.25" customHeight="1" x14ac:dyDescent="0.25">
      <c r="A143" s="12" t="s">
        <v>187</v>
      </c>
      <c r="B143" s="12" t="s">
        <v>44</v>
      </c>
      <c r="C143" s="14">
        <v>32518</v>
      </c>
      <c r="D143" s="17">
        <f t="shared" si="17"/>
        <v>1989</v>
      </c>
      <c r="E143" s="16">
        <f t="shared" si="16"/>
        <v>36</v>
      </c>
      <c r="F143" s="12" t="str">
        <f t="shared" si="18"/>
        <v>30=&lt;40</v>
      </c>
      <c r="G143" s="12" t="s">
        <v>49</v>
      </c>
      <c r="H143" s="13">
        <v>3799.73</v>
      </c>
      <c r="I143" s="12" t="str">
        <f t="shared" si="19"/>
        <v>3000=&lt;4000 AZN</v>
      </c>
      <c r="J143" s="13">
        <v>2783.56</v>
      </c>
      <c r="K143" s="12" t="str">
        <f t="shared" si="20"/>
        <v>2000=&lt;3000 AZN</v>
      </c>
      <c r="L143" s="13">
        <f t="shared" si="21"/>
        <v>1016.1700000000001</v>
      </c>
      <c r="M143" s="52" t="str">
        <f t="shared" si="22"/>
        <v>musbet</v>
      </c>
      <c r="N143" s="19" t="str">
        <f t="shared" si="23"/>
        <v>Fidan Təhmin 32518</v>
      </c>
    </row>
    <row r="144" spans="1:14" ht="14.25" customHeight="1" x14ac:dyDescent="0.25">
      <c r="A144" s="12" t="s">
        <v>188</v>
      </c>
      <c r="B144" s="12" t="s">
        <v>48</v>
      </c>
      <c r="C144" s="14">
        <v>27922</v>
      </c>
      <c r="D144" s="17">
        <f t="shared" si="17"/>
        <v>1976</v>
      </c>
      <c r="E144" s="16">
        <f t="shared" si="16"/>
        <v>49</v>
      </c>
      <c r="F144" s="12" t="str">
        <f t="shared" si="18"/>
        <v>40=&lt;60</v>
      </c>
      <c r="G144" s="12" t="s">
        <v>51</v>
      </c>
      <c r="H144" s="13">
        <v>3956.71</v>
      </c>
      <c r="I144" s="12" t="str">
        <f t="shared" si="19"/>
        <v>3000=&lt;4000 AZN</v>
      </c>
      <c r="J144" s="13">
        <v>3220.55</v>
      </c>
      <c r="K144" s="12" t="str">
        <f t="shared" si="20"/>
        <v>3000=&lt;4000 AZN</v>
      </c>
      <c r="L144" s="13">
        <f t="shared" si="21"/>
        <v>736.15999999999985</v>
      </c>
      <c r="M144" s="52" t="str">
        <f t="shared" si="22"/>
        <v>musbet</v>
      </c>
      <c r="N144" s="19" t="str">
        <f t="shared" si="23"/>
        <v>Tural Abbasbəyli 27922</v>
      </c>
    </row>
    <row r="145" spans="1:14" ht="14.25" customHeight="1" x14ac:dyDescent="0.25">
      <c r="A145" s="12" t="s">
        <v>189</v>
      </c>
      <c r="B145" s="12" t="s">
        <v>27</v>
      </c>
      <c r="C145" s="14">
        <v>37299</v>
      </c>
      <c r="D145" s="17">
        <f t="shared" si="17"/>
        <v>2002</v>
      </c>
      <c r="E145" s="16">
        <f t="shared" si="16"/>
        <v>23</v>
      </c>
      <c r="F145" s="12" t="str">
        <f t="shared" si="18"/>
        <v>20=&lt;30</v>
      </c>
      <c r="G145" s="12" t="s">
        <v>51</v>
      </c>
      <c r="H145" s="13">
        <v>4686.97</v>
      </c>
      <c r="I145" s="12" t="str">
        <f t="shared" si="19"/>
        <v>4000=&lt;5000 AZN</v>
      </c>
      <c r="J145" s="13">
        <v>2701.37</v>
      </c>
      <c r="K145" s="12" t="str">
        <f t="shared" si="20"/>
        <v>2000=&lt;3000 AZN</v>
      </c>
      <c r="L145" s="13">
        <f t="shared" si="21"/>
        <v>1985.6000000000004</v>
      </c>
      <c r="M145" s="52" t="str">
        <f t="shared" si="22"/>
        <v>musbet</v>
      </c>
      <c r="N145" s="19" t="str">
        <f t="shared" si="23"/>
        <v>Yəhya Vurğun 37299</v>
      </c>
    </row>
    <row r="146" spans="1:14" ht="14.25" customHeight="1" x14ac:dyDescent="0.25">
      <c r="A146" s="12" t="s">
        <v>190</v>
      </c>
      <c r="B146" s="12" t="s">
        <v>30</v>
      </c>
      <c r="C146" s="14">
        <v>33966</v>
      </c>
      <c r="D146" s="17">
        <f t="shared" si="17"/>
        <v>1992</v>
      </c>
      <c r="E146" s="16">
        <f t="shared" si="16"/>
        <v>33</v>
      </c>
      <c r="F146" s="12" t="str">
        <f t="shared" si="18"/>
        <v>30=&lt;40</v>
      </c>
      <c r="G146" s="12" t="s">
        <v>42</v>
      </c>
      <c r="H146" s="13">
        <v>2310.54</v>
      </c>
      <c r="I146" s="12" t="str">
        <f t="shared" si="19"/>
        <v>2000=&lt;3000 AZN</v>
      </c>
      <c r="J146" s="13">
        <v>1287.99</v>
      </c>
      <c r="K146" s="12" t="str">
        <f t="shared" si="20"/>
        <v>1000=&lt;2000 AZN</v>
      </c>
      <c r="L146" s="13">
        <f t="shared" si="21"/>
        <v>1022.55</v>
      </c>
      <c r="M146" s="52" t="str">
        <f t="shared" si="22"/>
        <v>musbet</v>
      </c>
      <c r="N146" s="19" t="str">
        <f t="shared" si="23"/>
        <v>Ruqiyyə Bəktaşi 33966</v>
      </c>
    </row>
    <row r="147" spans="1:14" ht="14.25" customHeight="1" x14ac:dyDescent="0.25">
      <c r="A147" s="12" t="s">
        <v>191</v>
      </c>
      <c r="B147" s="12" t="s">
        <v>56</v>
      </c>
      <c r="C147" s="14">
        <v>29697</v>
      </c>
      <c r="D147" s="17">
        <f t="shared" si="17"/>
        <v>1981</v>
      </c>
      <c r="E147" s="16">
        <f t="shared" si="16"/>
        <v>44</v>
      </c>
      <c r="F147" s="12" t="str">
        <f t="shared" si="18"/>
        <v>40=&lt;60</v>
      </c>
      <c r="G147" s="12" t="s">
        <v>45</v>
      </c>
      <c r="H147" s="13">
        <v>1584.99</v>
      </c>
      <c r="I147" s="12" t="str">
        <f t="shared" si="19"/>
        <v>1000=&lt;2000 AZN</v>
      </c>
      <c r="J147" s="13">
        <v>2081.2399999999998</v>
      </c>
      <c r="K147" s="12" t="str">
        <f t="shared" si="20"/>
        <v>2000=&lt;3000 AZN</v>
      </c>
      <c r="L147" s="13">
        <f t="shared" si="21"/>
        <v>-496.24999999999977</v>
      </c>
      <c r="M147" s="52" t="str">
        <f t="shared" si="22"/>
        <v>menfi</v>
      </c>
      <c r="N147" s="19" t="str">
        <f t="shared" si="23"/>
        <v>Yaqub Talıbzadə 29697</v>
      </c>
    </row>
    <row r="148" spans="1:14" ht="14.25" customHeight="1" x14ac:dyDescent="0.25">
      <c r="A148" s="12" t="s">
        <v>192</v>
      </c>
      <c r="B148" s="12" t="s">
        <v>27</v>
      </c>
      <c r="C148" s="14">
        <v>37493</v>
      </c>
      <c r="D148" s="17">
        <f t="shared" si="17"/>
        <v>2002</v>
      </c>
      <c r="E148" s="16">
        <f t="shared" si="16"/>
        <v>23</v>
      </c>
      <c r="F148" s="12" t="str">
        <f t="shared" si="18"/>
        <v>20=&lt;30</v>
      </c>
      <c r="G148" s="12" t="s">
        <v>40</v>
      </c>
      <c r="H148" s="13">
        <v>979.74</v>
      </c>
      <c r="I148" s="12" t="str">
        <f t="shared" si="19"/>
        <v>&lt;1000 AZN</v>
      </c>
      <c r="J148" s="13">
        <v>3364.93</v>
      </c>
      <c r="K148" s="12" t="str">
        <f t="shared" si="20"/>
        <v>3000=&lt;4000 AZN</v>
      </c>
      <c r="L148" s="13">
        <f t="shared" si="21"/>
        <v>-2385.1899999999996</v>
      </c>
      <c r="M148" s="52" t="str">
        <f t="shared" si="22"/>
        <v>menfi</v>
      </c>
      <c r="N148" s="19" t="str">
        <f t="shared" si="23"/>
        <v>Emin Vurğun 37493</v>
      </c>
    </row>
    <row r="149" spans="1:14" ht="14.25" customHeight="1" x14ac:dyDescent="0.25">
      <c r="A149" s="12" t="s">
        <v>193</v>
      </c>
      <c r="B149" s="12" t="s">
        <v>30</v>
      </c>
      <c r="C149" s="14">
        <v>35316</v>
      </c>
      <c r="D149" s="17">
        <f t="shared" si="17"/>
        <v>1996</v>
      </c>
      <c r="E149" s="16">
        <f t="shared" si="16"/>
        <v>29</v>
      </c>
      <c r="F149" s="12" t="str">
        <f t="shared" si="18"/>
        <v>20=&lt;30</v>
      </c>
      <c r="G149" s="12" t="s">
        <v>58</v>
      </c>
      <c r="H149" s="13">
        <v>3350.42</v>
      </c>
      <c r="I149" s="12" t="str">
        <f t="shared" si="19"/>
        <v>3000=&lt;4000 AZN</v>
      </c>
      <c r="J149" s="13">
        <v>1835.1</v>
      </c>
      <c r="K149" s="12" t="str">
        <f t="shared" si="20"/>
        <v>1000=&lt;2000 AZN</v>
      </c>
      <c r="L149" s="13">
        <f t="shared" si="21"/>
        <v>1515.3200000000002</v>
      </c>
      <c r="M149" s="52" t="str">
        <f t="shared" si="22"/>
        <v>musbet</v>
      </c>
      <c r="N149" s="19" t="str">
        <f t="shared" si="23"/>
        <v>İsgəndər Bəktaşi 35316</v>
      </c>
    </row>
    <row r="150" spans="1:14" ht="14.25" customHeight="1" x14ac:dyDescent="0.25">
      <c r="A150" s="12" t="s">
        <v>194</v>
      </c>
      <c r="B150" s="12" t="s">
        <v>39</v>
      </c>
      <c r="C150" s="14">
        <v>31778</v>
      </c>
      <c r="D150" s="17">
        <f t="shared" si="17"/>
        <v>1987</v>
      </c>
      <c r="E150" s="16">
        <f t="shared" si="16"/>
        <v>38</v>
      </c>
      <c r="F150" s="12" t="str">
        <f t="shared" si="18"/>
        <v>30=&lt;40</v>
      </c>
      <c r="G150" s="12" t="s">
        <v>58</v>
      </c>
      <c r="H150" s="13">
        <v>1664.94</v>
      </c>
      <c r="I150" s="12" t="str">
        <f t="shared" si="19"/>
        <v>1000=&lt;2000 AZN</v>
      </c>
      <c r="J150" s="13">
        <v>3141.17</v>
      </c>
      <c r="K150" s="12" t="str">
        <f t="shared" si="20"/>
        <v>3000=&lt;4000 AZN</v>
      </c>
      <c r="L150" s="13">
        <f t="shared" si="21"/>
        <v>-1476.23</v>
      </c>
      <c r="M150" s="52" t="str">
        <f t="shared" si="22"/>
        <v>menfi</v>
      </c>
      <c r="N150" s="19" t="str">
        <f t="shared" si="23"/>
        <v>Gündüz Düzgün 31778</v>
      </c>
    </row>
    <row r="151" spans="1:14" ht="14.25" customHeight="1" x14ac:dyDescent="0.25">
      <c r="A151" s="12" t="s">
        <v>195</v>
      </c>
      <c r="B151" s="12" t="s">
        <v>26</v>
      </c>
      <c r="C151" s="14">
        <v>36043</v>
      </c>
      <c r="D151" s="17">
        <f t="shared" si="17"/>
        <v>1998</v>
      </c>
      <c r="E151" s="16">
        <f t="shared" si="16"/>
        <v>27</v>
      </c>
      <c r="F151" s="12" t="str">
        <f t="shared" si="18"/>
        <v>20=&lt;30</v>
      </c>
      <c r="G151" s="12" t="s">
        <v>60</v>
      </c>
      <c r="H151" s="13">
        <v>2780.35</v>
      </c>
      <c r="I151" s="12" t="str">
        <f t="shared" si="19"/>
        <v>2000=&lt;3000 AZN</v>
      </c>
      <c r="J151" s="13">
        <v>4081.18</v>
      </c>
      <c r="K151" s="12" t="str">
        <f t="shared" si="20"/>
        <v>4000=&lt;5000 AZN</v>
      </c>
      <c r="L151" s="13">
        <f t="shared" si="21"/>
        <v>-1300.83</v>
      </c>
      <c r="M151" s="52" t="str">
        <f t="shared" si="22"/>
        <v>menfi</v>
      </c>
      <c r="N151" s="19" t="str">
        <f t="shared" si="23"/>
        <v>Valeh Həsənli 36043</v>
      </c>
    </row>
    <row r="152" spans="1:14" ht="14.25" customHeight="1" x14ac:dyDescent="0.25">
      <c r="A152" s="12" t="s">
        <v>196</v>
      </c>
      <c r="B152" s="12" t="s">
        <v>29</v>
      </c>
      <c r="C152" s="14">
        <v>27820</v>
      </c>
      <c r="D152" s="17">
        <f t="shared" si="17"/>
        <v>1976</v>
      </c>
      <c r="E152" s="16">
        <f t="shared" si="16"/>
        <v>49</v>
      </c>
      <c r="F152" s="12" t="str">
        <f t="shared" si="18"/>
        <v>40=&lt;60</v>
      </c>
      <c r="G152" s="12" t="s">
        <v>66</v>
      </c>
      <c r="H152" s="13">
        <v>4358.03</v>
      </c>
      <c r="I152" s="12" t="str">
        <f t="shared" si="19"/>
        <v>4000=&lt;5000 AZN</v>
      </c>
      <c r="J152" s="13">
        <v>4206.79</v>
      </c>
      <c r="K152" s="12" t="str">
        <f t="shared" si="20"/>
        <v>4000=&lt;5000 AZN</v>
      </c>
      <c r="L152" s="13">
        <f t="shared" si="21"/>
        <v>151.23999999999978</v>
      </c>
      <c r="M152" s="52" t="str">
        <f t="shared" si="22"/>
        <v>musbet</v>
      </c>
      <c r="N152" s="19" t="str">
        <f t="shared" si="23"/>
        <v>Yasəf Bayramov 27820</v>
      </c>
    </row>
    <row r="153" spans="1:14" ht="14.25" customHeight="1" x14ac:dyDescent="0.25">
      <c r="A153" s="12" t="s">
        <v>197</v>
      </c>
      <c r="B153" s="12" t="s">
        <v>28</v>
      </c>
      <c r="C153" s="14">
        <v>32125</v>
      </c>
      <c r="D153" s="17">
        <f t="shared" si="17"/>
        <v>1987</v>
      </c>
      <c r="E153" s="16">
        <f t="shared" si="16"/>
        <v>38</v>
      </c>
      <c r="F153" s="12" t="str">
        <f t="shared" si="18"/>
        <v>30=&lt;40</v>
      </c>
      <c r="G153" s="12" t="s">
        <v>49</v>
      </c>
      <c r="H153" s="13">
        <v>3995.55</v>
      </c>
      <c r="I153" s="12" t="str">
        <f t="shared" si="19"/>
        <v>3000=&lt;4000 AZN</v>
      </c>
      <c r="J153" s="13">
        <v>512.91999999999996</v>
      </c>
      <c r="K153" s="12" t="str">
        <f t="shared" si="20"/>
        <v>&lt;1000 AZN</v>
      </c>
      <c r="L153" s="13">
        <f t="shared" si="21"/>
        <v>3482.63</v>
      </c>
      <c r="M153" s="52" t="str">
        <f t="shared" si="22"/>
        <v>musbet</v>
      </c>
      <c r="N153" s="19" t="str">
        <f t="shared" si="23"/>
        <v>Gülnur Mirzəyev 32125</v>
      </c>
    </row>
    <row r="154" spans="1:14" ht="14.25" customHeight="1" x14ac:dyDescent="0.25">
      <c r="A154" s="12" t="s">
        <v>198</v>
      </c>
      <c r="B154" s="12" t="s">
        <v>65</v>
      </c>
      <c r="C154" s="14">
        <v>32463</v>
      </c>
      <c r="D154" s="17">
        <f t="shared" si="17"/>
        <v>1988</v>
      </c>
      <c r="E154" s="16">
        <f t="shared" si="16"/>
        <v>37</v>
      </c>
      <c r="F154" s="12" t="str">
        <f t="shared" si="18"/>
        <v>30=&lt;40</v>
      </c>
      <c r="G154" s="12" t="s">
        <v>63</v>
      </c>
      <c r="H154" s="13">
        <v>4495.53</v>
      </c>
      <c r="I154" s="12" t="str">
        <f t="shared" si="19"/>
        <v>4000=&lt;5000 AZN</v>
      </c>
      <c r="J154" s="13">
        <v>4117.25</v>
      </c>
      <c r="K154" s="12" t="str">
        <f t="shared" si="20"/>
        <v>4000=&lt;5000 AZN</v>
      </c>
      <c r="L154" s="13">
        <f t="shared" si="21"/>
        <v>378.27999999999975</v>
      </c>
      <c r="M154" s="52" t="str">
        <f t="shared" si="22"/>
        <v>musbet</v>
      </c>
      <c r="N154" s="19" t="str">
        <f t="shared" si="23"/>
        <v>Vahid Cabbarov 32463</v>
      </c>
    </row>
    <row r="155" spans="1:14" ht="14.25" customHeight="1" x14ac:dyDescent="0.25">
      <c r="A155" s="12" t="s">
        <v>199</v>
      </c>
      <c r="B155" s="12" t="s">
        <v>30</v>
      </c>
      <c r="C155" s="14">
        <v>31262</v>
      </c>
      <c r="D155" s="17">
        <f t="shared" si="17"/>
        <v>1985</v>
      </c>
      <c r="E155" s="16">
        <f t="shared" si="16"/>
        <v>40</v>
      </c>
      <c r="F155" s="12" t="str">
        <f t="shared" si="18"/>
        <v>40=&lt;60</v>
      </c>
      <c r="G155" s="12" t="s">
        <v>63</v>
      </c>
      <c r="H155" s="13">
        <v>1741.04</v>
      </c>
      <c r="I155" s="12" t="str">
        <f t="shared" si="19"/>
        <v>1000=&lt;2000 AZN</v>
      </c>
      <c r="J155" s="13">
        <v>948.61</v>
      </c>
      <c r="K155" s="12" t="str">
        <f t="shared" si="20"/>
        <v>&lt;1000 AZN</v>
      </c>
      <c r="L155" s="13">
        <f t="shared" si="21"/>
        <v>792.43</v>
      </c>
      <c r="M155" s="52" t="str">
        <f t="shared" si="22"/>
        <v>musbet</v>
      </c>
      <c r="N155" s="19" t="str">
        <f t="shared" si="23"/>
        <v>Zaur Bəktaşi 31262</v>
      </c>
    </row>
    <row r="156" spans="1:14" ht="14.25" customHeight="1" x14ac:dyDescent="0.25">
      <c r="A156" s="12" t="s">
        <v>200</v>
      </c>
      <c r="B156" s="12" t="s">
        <v>29</v>
      </c>
      <c r="C156" s="14">
        <v>26617</v>
      </c>
      <c r="D156" s="17">
        <f t="shared" si="17"/>
        <v>1972</v>
      </c>
      <c r="E156" s="16">
        <f t="shared" si="16"/>
        <v>53</v>
      </c>
      <c r="F156" s="12" t="str">
        <f t="shared" si="18"/>
        <v>40=&lt;60</v>
      </c>
      <c r="G156" s="12" t="s">
        <v>40</v>
      </c>
      <c r="H156" s="13">
        <v>1198.8800000000001</v>
      </c>
      <c r="I156" s="12" t="str">
        <f t="shared" si="19"/>
        <v>1000=&lt;2000 AZN</v>
      </c>
      <c r="J156" s="13">
        <v>4559.12</v>
      </c>
      <c r="K156" s="12" t="str">
        <f t="shared" si="20"/>
        <v>4000=&lt;5000 AZN</v>
      </c>
      <c r="L156" s="13">
        <f t="shared" si="21"/>
        <v>-3360.24</v>
      </c>
      <c r="M156" s="52" t="str">
        <f t="shared" si="22"/>
        <v>menfi</v>
      </c>
      <c r="N156" s="19" t="str">
        <f t="shared" si="23"/>
        <v>Samirə Bayramov 26617</v>
      </c>
    </row>
    <row r="157" spans="1:14" ht="14.25" customHeight="1" x14ac:dyDescent="0.25">
      <c r="A157" s="12" t="s">
        <v>201</v>
      </c>
      <c r="B157" s="12" t="s">
        <v>39</v>
      </c>
      <c r="C157" s="14">
        <v>27873</v>
      </c>
      <c r="D157" s="17">
        <f t="shared" si="17"/>
        <v>1976</v>
      </c>
      <c r="E157" s="16">
        <f t="shared" si="16"/>
        <v>49</v>
      </c>
      <c r="F157" s="12" t="str">
        <f t="shared" si="18"/>
        <v>40=&lt;60</v>
      </c>
      <c r="G157" s="12" t="s">
        <v>58</v>
      </c>
      <c r="H157" s="13">
        <v>1790.37</v>
      </c>
      <c r="I157" s="12" t="str">
        <f t="shared" si="19"/>
        <v>1000=&lt;2000 AZN</v>
      </c>
      <c r="J157" s="13">
        <v>4588.38</v>
      </c>
      <c r="K157" s="12" t="str">
        <f t="shared" si="20"/>
        <v>4000=&lt;5000 AZN</v>
      </c>
      <c r="L157" s="13">
        <f t="shared" si="21"/>
        <v>-2798.01</v>
      </c>
      <c r="M157" s="52" t="str">
        <f t="shared" si="22"/>
        <v>menfi</v>
      </c>
      <c r="N157" s="19" t="str">
        <f t="shared" si="23"/>
        <v>Nurlan Düzgün 27873</v>
      </c>
    </row>
    <row r="158" spans="1:14" ht="14.25" customHeight="1" x14ac:dyDescent="0.25">
      <c r="A158" s="12" t="s">
        <v>202</v>
      </c>
      <c r="B158" s="12" t="s">
        <v>26</v>
      </c>
      <c r="C158" s="14">
        <v>31222</v>
      </c>
      <c r="D158" s="17">
        <f t="shared" si="17"/>
        <v>1985</v>
      </c>
      <c r="E158" s="16">
        <f t="shared" si="16"/>
        <v>40</v>
      </c>
      <c r="F158" s="12" t="str">
        <f t="shared" si="18"/>
        <v>40=&lt;60</v>
      </c>
      <c r="G158" s="12" t="s">
        <v>51</v>
      </c>
      <c r="H158" s="13">
        <v>617.74</v>
      </c>
      <c r="I158" s="12" t="str">
        <f t="shared" si="19"/>
        <v>&lt;1000 AZN</v>
      </c>
      <c r="J158" s="13">
        <v>3675.36</v>
      </c>
      <c r="K158" s="12" t="str">
        <f t="shared" si="20"/>
        <v>3000=&lt;4000 AZN</v>
      </c>
      <c r="L158" s="13">
        <f t="shared" si="21"/>
        <v>-3057.62</v>
      </c>
      <c r="M158" s="52" t="str">
        <f t="shared" si="22"/>
        <v>menfi</v>
      </c>
      <c r="N158" s="19" t="str">
        <f t="shared" si="23"/>
        <v>Ağahadi Həsənli 31222</v>
      </c>
    </row>
    <row r="159" spans="1:14" ht="14.25" customHeight="1" x14ac:dyDescent="0.25">
      <c r="A159" s="12" t="s">
        <v>203</v>
      </c>
      <c r="B159" s="12" t="s">
        <v>29</v>
      </c>
      <c r="C159" s="14">
        <v>25723</v>
      </c>
      <c r="D159" s="17">
        <f t="shared" si="17"/>
        <v>1970</v>
      </c>
      <c r="E159" s="16">
        <f t="shared" si="16"/>
        <v>55</v>
      </c>
      <c r="F159" s="12" t="str">
        <f t="shared" si="18"/>
        <v>40=&lt;60</v>
      </c>
      <c r="G159" s="12" t="s">
        <v>66</v>
      </c>
      <c r="H159" s="13">
        <v>1057.2</v>
      </c>
      <c r="I159" s="12" t="str">
        <f t="shared" si="19"/>
        <v>1000=&lt;2000 AZN</v>
      </c>
      <c r="J159" s="13">
        <v>1273.01</v>
      </c>
      <c r="K159" s="12" t="str">
        <f t="shared" si="20"/>
        <v>1000=&lt;2000 AZN</v>
      </c>
      <c r="L159" s="13">
        <f t="shared" si="21"/>
        <v>-215.80999999999995</v>
      </c>
      <c r="M159" s="52" t="str">
        <f t="shared" si="22"/>
        <v>menfi</v>
      </c>
      <c r="N159" s="19" t="str">
        <f t="shared" si="23"/>
        <v>Vaqif  Bayramov 25723</v>
      </c>
    </row>
    <row r="160" spans="1:14" ht="14.25" customHeight="1" x14ac:dyDescent="0.25">
      <c r="A160" s="12" t="s">
        <v>204</v>
      </c>
      <c r="B160" s="12" t="s">
        <v>29</v>
      </c>
      <c r="C160" s="14">
        <v>25429</v>
      </c>
      <c r="D160" s="17">
        <f t="shared" si="17"/>
        <v>1969</v>
      </c>
      <c r="E160" s="16">
        <f t="shared" si="16"/>
        <v>56</v>
      </c>
      <c r="F160" s="12" t="str">
        <f t="shared" si="18"/>
        <v>40=&lt;60</v>
      </c>
      <c r="G160" s="12" t="s">
        <v>58</v>
      </c>
      <c r="H160" s="13">
        <v>3312.92</v>
      </c>
      <c r="I160" s="12" t="str">
        <f t="shared" si="19"/>
        <v>3000=&lt;4000 AZN</v>
      </c>
      <c r="J160" s="13">
        <v>3512.28</v>
      </c>
      <c r="K160" s="12" t="str">
        <f t="shared" si="20"/>
        <v>3000=&lt;4000 AZN</v>
      </c>
      <c r="L160" s="13">
        <f t="shared" si="21"/>
        <v>-199.36000000000013</v>
      </c>
      <c r="M160" s="52" t="str">
        <f t="shared" si="22"/>
        <v>menfi</v>
      </c>
      <c r="N160" s="19" t="str">
        <f t="shared" si="23"/>
        <v>Elməddin Bayramov 25429</v>
      </c>
    </row>
    <row r="161" spans="1:14" ht="14.25" customHeight="1" x14ac:dyDescent="0.25">
      <c r="A161" s="12" t="s">
        <v>205</v>
      </c>
      <c r="B161" s="12" t="s">
        <v>26</v>
      </c>
      <c r="C161" s="14">
        <v>26395</v>
      </c>
      <c r="D161" s="17">
        <f t="shared" si="17"/>
        <v>1972</v>
      </c>
      <c r="E161" s="16">
        <f t="shared" si="16"/>
        <v>53</v>
      </c>
      <c r="F161" s="12" t="str">
        <f t="shared" si="18"/>
        <v>40=&lt;60</v>
      </c>
      <c r="G161" s="12" t="s">
        <v>51</v>
      </c>
      <c r="H161" s="13">
        <v>4120.91</v>
      </c>
      <c r="I161" s="12" t="str">
        <f t="shared" si="19"/>
        <v>4000=&lt;5000 AZN</v>
      </c>
      <c r="J161" s="13">
        <v>4644.33</v>
      </c>
      <c r="K161" s="12" t="str">
        <f t="shared" si="20"/>
        <v>4000=&lt;5000 AZN</v>
      </c>
      <c r="L161" s="13">
        <f t="shared" si="21"/>
        <v>-523.42000000000007</v>
      </c>
      <c r="M161" s="52" t="str">
        <f t="shared" si="22"/>
        <v>menfi</v>
      </c>
      <c r="N161" s="19" t="str">
        <f t="shared" si="23"/>
        <v>Bəşir Həsənli 26395</v>
      </c>
    </row>
    <row r="162" spans="1:14" ht="14.25" customHeight="1" x14ac:dyDescent="0.25">
      <c r="A162" s="12" t="s">
        <v>206</v>
      </c>
      <c r="B162" s="12" t="s">
        <v>44</v>
      </c>
      <c r="C162" s="14">
        <v>31547</v>
      </c>
      <c r="D162" s="17">
        <f t="shared" si="17"/>
        <v>1986</v>
      </c>
      <c r="E162" s="16">
        <f t="shared" si="16"/>
        <v>39</v>
      </c>
      <c r="F162" s="12" t="str">
        <f t="shared" si="18"/>
        <v>30=&lt;40</v>
      </c>
      <c r="G162" s="12" t="s">
        <v>40</v>
      </c>
      <c r="H162" s="13">
        <v>2015.37</v>
      </c>
      <c r="I162" s="12" t="str">
        <f t="shared" si="19"/>
        <v>2000=&lt;3000 AZN</v>
      </c>
      <c r="J162" s="13">
        <v>3507.22</v>
      </c>
      <c r="K162" s="12" t="str">
        <f t="shared" si="20"/>
        <v>3000=&lt;4000 AZN</v>
      </c>
      <c r="L162" s="13">
        <f t="shared" si="21"/>
        <v>-1491.85</v>
      </c>
      <c r="M162" s="52" t="str">
        <f t="shared" si="22"/>
        <v>menfi</v>
      </c>
      <c r="N162" s="19" t="str">
        <f t="shared" si="23"/>
        <v>Nəriman Təhmin 31547</v>
      </c>
    </row>
    <row r="163" spans="1:14" ht="14.25" customHeight="1" x14ac:dyDescent="0.25">
      <c r="A163" s="12" t="s">
        <v>207</v>
      </c>
      <c r="B163" s="12" t="s">
        <v>44</v>
      </c>
      <c r="C163" s="14">
        <v>27306</v>
      </c>
      <c r="D163" s="17">
        <f t="shared" si="17"/>
        <v>1974</v>
      </c>
      <c r="E163" s="16">
        <f t="shared" si="16"/>
        <v>51</v>
      </c>
      <c r="F163" s="12" t="str">
        <f t="shared" si="18"/>
        <v>40=&lt;60</v>
      </c>
      <c r="G163" s="12" t="s">
        <v>49</v>
      </c>
      <c r="H163" s="13">
        <v>2733.33</v>
      </c>
      <c r="I163" s="12" t="str">
        <f t="shared" si="19"/>
        <v>2000=&lt;3000 AZN</v>
      </c>
      <c r="J163" s="13">
        <v>1540.66</v>
      </c>
      <c r="K163" s="12" t="str">
        <f t="shared" si="20"/>
        <v>1000=&lt;2000 AZN</v>
      </c>
      <c r="L163" s="13">
        <f t="shared" si="21"/>
        <v>1192.6699999999998</v>
      </c>
      <c r="M163" s="52" t="str">
        <f t="shared" si="22"/>
        <v>musbet</v>
      </c>
      <c r="N163" s="19" t="str">
        <f t="shared" si="23"/>
        <v>Gülçöhrə Təhmin 27306</v>
      </c>
    </row>
    <row r="164" spans="1:14" ht="14.25" customHeight="1" x14ac:dyDescent="0.25">
      <c r="A164" s="12" t="s">
        <v>208</v>
      </c>
      <c r="B164" s="12" t="s">
        <v>39</v>
      </c>
      <c r="C164" s="14">
        <v>36173</v>
      </c>
      <c r="D164" s="17">
        <f t="shared" si="17"/>
        <v>1999</v>
      </c>
      <c r="E164" s="16">
        <f t="shared" si="16"/>
        <v>26</v>
      </c>
      <c r="F164" s="12" t="str">
        <f t="shared" si="18"/>
        <v>20=&lt;30</v>
      </c>
      <c r="G164" s="12" t="s">
        <v>45</v>
      </c>
      <c r="H164" s="13">
        <v>4226.13</v>
      </c>
      <c r="I164" s="12" t="str">
        <f t="shared" si="19"/>
        <v>4000=&lt;5000 AZN</v>
      </c>
      <c r="J164" s="13">
        <v>3222.12</v>
      </c>
      <c r="K164" s="12" t="str">
        <f t="shared" si="20"/>
        <v>3000=&lt;4000 AZN</v>
      </c>
      <c r="L164" s="13">
        <f t="shared" si="21"/>
        <v>1004.0100000000002</v>
      </c>
      <c r="M164" s="52" t="str">
        <f t="shared" si="22"/>
        <v>musbet</v>
      </c>
      <c r="N164" s="19" t="str">
        <f t="shared" si="23"/>
        <v>Akifə Düzgün 36173</v>
      </c>
    </row>
    <row r="165" spans="1:14" ht="14.25" customHeight="1" x14ac:dyDescent="0.25">
      <c r="A165" s="12" t="s">
        <v>209</v>
      </c>
      <c r="B165" s="12" t="s">
        <v>39</v>
      </c>
      <c r="C165" s="14">
        <v>37342</v>
      </c>
      <c r="D165" s="17">
        <f t="shared" si="17"/>
        <v>2002</v>
      </c>
      <c r="E165" s="16">
        <f t="shared" si="16"/>
        <v>23</v>
      </c>
      <c r="F165" s="12" t="str">
        <f t="shared" si="18"/>
        <v>20=&lt;30</v>
      </c>
      <c r="G165" s="12" t="s">
        <v>42</v>
      </c>
      <c r="H165" s="13">
        <v>2480.4899999999998</v>
      </c>
      <c r="I165" s="12" t="str">
        <f t="shared" si="19"/>
        <v>2000=&lt;3000 AZN</v>
      </c>
      <c r="J165" s="13">
        <v>1746.4</v>
      </c>
      <c r="K165" s="12" t="str">
        <f t="shared" si="20"/>
        <v>1000=&lt;2000 AZN</v>
      </c>
      <c r="L165" s="13">
        <f t="shared" si="21"/>
        <v>734.08999999999969</v>
      </c>
      <c r="M165" s="52" t="str">
        <f t="shared" si="22"/>
        <v>musbet</v>
      </c>
      <c r="N165" s="19" t="str">
        <f t="shared" si="23"/>
        <v>Hüseynqulu Düzgün 37342</v>
      </c>
    </row>
    <row r="166" spans="1:14" ht="14.25" customHeight="1" x14ac:dyDescent="0.25">
      <c r="A166" s="12" t="s">
        <v>27</v>
      </c>
      <c r="B166" s="12" t="s">
        <v>48</v>
      </c>
      <c r="C166" s="14">
        <v>29016</v>
      </c>
      <c r="D166" s="17">
        <f t="shared" si="17"/>
        <v>1979</v>
      </c>
      <c r="E166" s="16">
        <f t="shared" si="16"/>
        <v>46</v>
      </c>
      <c r="F166" s="12" t="str">
        <f t="shared" si="18"/>
        <v>40=&lt;60</v>
      </c>
      <c r="G166" s="12" t="s">
        <v>58</v>
      </c>
      <c r="H166" s="13">
        <v>4335.95</v>
      </c>
      <c r="I166" s="12" t="str">
        <f t="shared" si="19"/>
        <v>4000=&lt;5000 AZN</v>
      </c>
      <c r="J166" s="13">
        <v>747.83</v>
      </c>
      <c r="K166" s="12" t="str">
        <f t="shared" si="20"/>
        <v>&lt;1000 AZN</v>
      </c>
      <c r="L166" s="13">
        <f t="shared" si="21"/>
        <v>3588.12</v>
      </c>
      <c r="M166" s="52" t="str">
        <f t="shared" si="22"/>
        <v>musbet</v>
      </c>
      <c r="N166" s="19" t="str">
        <f t="shared" si="23"/>
        <v>Vurğun Abbasbəyli 29016</v>
      </c>
    </row>
    <row r="167" spans="1:14" ht="14.25" customHeight="1" x14ac:dyDescent="0.25">
      <c r="A167" s="12" t="s">
        <v>210</v>
      </c>
      <c r="B167" s="12" t="s">
        <v>26</v>
      </c>
      <c r="C167" s="14">
        <v>31634</v>
      </c>
      <c r="D167" s="17">
        <f t="shared" si="17"/>
        <v>1986</v>
      </c>
      <c r="E167" s="16">
        <f t="shared" si="16"/>
        <v>39</v>
      </c>
      <c r="F167" s="12" t="str">
        <f t="shared" si="18"/>
        <v>30=&lt;40</v>
      </c>
      <c r="G167" s="12" t="s">
        <v>63</v>
      </c>
      <c r="H167" s="13">
        <v>4520</v>
      </c>
      <c r="I167" s="12" t="str">
        <f t="shared" si="19"/>
        <v>4000=&lt;5000 AZN</v>
      </c>
      <c r="J167" s="13">
        <v>4510.4799999999996</v>
      </c>
      <c r="K167" s="12" t="str">
        <f t="shared" si="20"/>
        <v>4000=&lt;5000 AZN</v>
      </c>
      <c r="L167" s="13">
        <f t="shared" si="21"/>
        <v>9.5200000000004366</v>
      </c>
      <c r="M167" s="52" t="str">
        <f t="shared" si="22"/>
        <v>musbet</v>
      </c>
      <c r="N167" s="19" t="str">
        <f t="shared" si="23"/>
        <v>Həmid Həsənli 31634</v>
      </c>
    </row>
    <row r="168" spans="1:14" ht="14.25" customHeight="1" x14ac:dyDescent="0.25">
      <c r="A168" s="12" t="s">
        <v>211</v>
      </c>
      <c r="B168" s="12" t="s">
        <v>28</v>
      </c>
      <c r="C168" s="14">
        <v>24349</v>
      </c>
      <c r="D168" s="17">
        <f t="shared" si="17"/>
        <v>1966</v>
      </c>
      <c r="E168" s="16">
        <f t="shared" si="16"/>
        <v>59</v>
      </c>
      <c r="F168" s="12" t="str">
        <f t="shared" si="18"/>
        <v>40=&lt;60</v>
      </c>
      <c r="G168" s="12" t="s">
        <v>49</v>
      </c>
      <c r="H168" s="13">
        <v>3688.07</v>
      </c>
      <c r="I168" s="12" t="str">
        <f t="shared" si="19"/>
        <v>3000=&lt;4000 AZN</v>
      </c>
      <c r="J168" s="13">
        <v>981.59</v>
      </c>
      <c r="K168" s="12" t="str">
        <f t="shared" si="20"/>
        <v>&lt;1000 AZN</v>
      </c>
      <c r="L168" s="13">
        <f t="shared" si="21"/>
        <v>2706.48</v>
      </c>
      <c r="M168" s="52" t="str">
        <f t="shared" si="22"/>
        <v>musbet</v>
      </c>
      <c r="N168" s="19" t="str">
        <f t="shared" si="23"/>
        <v>Məhərrəm Mirzəyev 24349</v>
      </c>
    </row>
    <row r="169" spans="1:14" ht="14.25" customHeight="1" x14ac:dyDescent="0.25">
      <c r="A169" s="12" t="s">
        <v>212</v>
      </c>
      <c r="B169" s="12" t="s">
        <v>28</v>
      </c>
      <c r="C169" s="14">
        <v>28880</v>
      </c>
      <c r="D169" s="17">
        <f t="shared" si="17"/>
        <v>1979</v>
      </c>
      <c r="E169" s="16">
        <f t="shared" si="16"/>
        <v>46</v>
      </c>
      <c r="F169" s="12" t="str">
        <f t="shared" si="18"/>
        <v>40=&lt;60</v>
      </c>
      <c r="G169" s="12" t="s">
        <v>66</v>
      </c>
      <c r="H169" s="13">
        <v>3087.72</v>
      </c>
      <c r="I169" s="12" t="str">
        <f t="shared" si="19"/>
        <v>3000=&lt;4000 AZN</v>
      </c>
      <c r="J169" s="13">
        <v>2995.6</v>
      </c>
      <c r="K169" s="12" t="str">
        <f t="shared" si="20"/>
        <v>2000=&lt;3000 AZN</v>
      </c>
      <c r="L169" s="13">
        <f t="shared" si="21"/>
        <v>92.119999999999891</v>
      </c>
      <c r="M169" s="52" t="str">
        <f t="shared" si="22"/>
        <v>musbet</v>
      </c>
      <c r="N169" s="19" t="str">
        <f t="shared" si="23"/>
        <v>Rəfiqə Mirzəyev 28880</v>
      </c>
    </row>
    <row r="170" spans="1:14" ht="14.25" customHeight="1" x14ac:dyDescent="0.25">
      <c r="A170" s="12" t="s">
        <v>213</v>
      </c>
      <c r="B170" s="12" t="s">
        <v>29</v>
      </c>
      <c r="C170" s="14">
        <v>31591</v>
      </c>
      <c r="D170" s="17">
        <f t="shared" si="17"/>
        <v>1986</v>
      </c>
      <c r="E170" s="16">
        <f t="shared" si="16"/>
        <v>39</v>
      </c>
      <c r="F170" s="12" t="str">
        <f t="shared" si="18"/>
        <v>30=&lt;40</v>
      </c>
      <c r="G170" s="12" t="s">
        <v>66</v>
      </c>
      <c r="H170" s="13">
        <v>1016.46</v>
      </c>
      <c r="I170" s="12" t="str">
        <f t="shared" si="19"/>
        <v>1000=&lt;2000 AZN</v>
      </c>
      <c r="J170" s="13">
        <v>2244.58</v>
      </c>
      <c r="K170" s="12" t="str">
        <f t="shared" si="20"/>
        <v>2000=&lt;3000 AZN</v>
      </c>
      <c r="L170" s="13">
        <f t="shared" si="21"/>
        <v>-1228.1199999999999</v>
      </c>
      <c r="M170" s="52" t="str">
        <f t="shared" si="22"/>
        <v>menfi</v>
      </c>
      <c r="N170" s="19" t="str">
        <f t="shared" si="23"/>
        <v>Sidiqə Bayramov 31591</v>
      </c>
    </row>
    <row r="171" spans="1:14" ht="14.25" customHeight="1" x14ac:dyDescent="0.25">
      <c r="A171" s="12" t="s">
        <v>214</v>
      </c>
      <c r="B171" s="12" t="s">
        <v>48</v>
      </c>
      <c r="C171" s="14">
        <v>27254</v>
      </c>
      <c r="D171" s="17">
        <f t="shared" si="17"/>
        <v>1974</v>
      </c>
      <c r="E171" s="16">
        <f t="shared" si="16"/>
        <v>51</v>
      </c>
      <c r="F171" s="12" t="str">
        <f t="shared" si="18"/>
        <v>40=&lt;60</v>
      </c>
      <c r="G171" s="12" t="s">
        <v>58</v>
      </c>
      <c r="H171" s="13">
        <v>746.23</v>
      </c>
      <c r="I171" s="12" t="str">
        <f t="shared" si="19"/>
        <v>&lt;1000 AZN</v>
      </c>
      <c r="J171" s="13">
        <v>2049.5700000000002</v>
      </c>
      <c r="K171" s="12" t="str">
        <f t="shared" si="20"/>
        <v>2000=&lt;3000 AZN</v>
      </c>
      <c r="L171" s="13">
        <f t="shared" si="21"/>
        <v>-1303.3400000000001</v>
      </c>
      <c r="M171" s="52" t="str">
        <f t="shared" si="22"/>
        <v>menfi</v>
      </c>
      <c r="N171" s="19" t="str">
        <f t="shared" si="23"/>
        <v>Şəmsiyyə Abbasbəyli 27254</v>
      </c>
    </row>
    <row r="172" spans="1:14" ht="14.25" customHeight="1" x14ac:dyDescent="0.25">
      <c r="A172" s="12" t="s">
        <v>215</v>
      </c>
      <c r="B172" s="12" t="s">
        <v>44</v>
      </c>
      <c r="C172" s="14">
        <v>27518</v>
      </c>
      <c r="D172" s="17">
        <f t="shared" si="17"/>
        <v>1975</v>
      </c>
      <c r="E172" s="16">
        <f t="shared" si="16"/>
        <v>50</v>
      </c>
      <c r="F172" s="12" t="str">
        <f t="shared" si="18"/>
        <v>40=&lt;60</v>
      </c>
      <c r="G172" s="12" t="s">
        <v>42</v>
      </c>
      <c r="H172" s="13">
        <v>4014.5</v>
      </c>
      <c r="I172" s="12" t="str">
        <f t="shared" si="19"/>
        <v>4000=&lt;5000 AZN</v>
      </c>
      <c r="J172" s="13">
        <v>3832.82</v>
      </c>
      <c r="K172" s="12" t="str">
        <f t="shared" si="20"/>
        <v>3000=&lt;4000 AZN</v>
      </c>
      <c r="L172" s="13">
        <f t="shared" si="21"/>
        <v>181.67999999999984</v>
      </c>
      <c r="M172" s="52" t="str">
        <f t="shared" si="22"/>
        <v>musbet</v>
      </c>
      <c r="N172" s="19" t="str">
        <f t="shared" si="23"/>
        <v>Sürəyya Təhmin 27518</v>
      </c>
    </row>
    <row r="173" spans="1:14" ht="14.25" customHeight="1" x14ac:dyDescent="0.25">
      <c r="A173" s="12" t="s">
        <v>216</v>
      </c>
      <c r="B173" s="12" t="s">
        <v>29</v>
      </c>
      <c r="C173" s="14">
        <v>26921</v>
      </c>
      <c r="D173" s="17">
        <f t="shared" si="17"/>
        <v>1973</v>
      </c>
      <c r="E173" s="16">
        <f t="shared" si="16"/>
        <v>52</v>
      </c>
      <c r="F173" s="12" t="str">
        <f t="shared" si="18"/>
        <v>40=&lt;60</v>
      </c>
      <c r="G173" s="12" t="s">
        <v>45</v>
      </c>
      <c r="H173" s="13">
        <v>2242.14</v>
      </c>
      <c r="I173" s="12" t="str">
        <f t="shared" si="19"/>
        <v>2000=&lt;3000 AZN</v>
      </c>
      <c r="J173" s="13">
        <v>1858.08</v>
      </c>
      <c r="K173" s="12" t="str">
        <f t="shared" si="20"/>
        <v>1000=&lt;2000 AZN</v>
      </c>
      <c r="L173" s="13">
        <f t="shared" si="21"/>
        <v>384.05999999999995</v>
      </c>
      <c r="M173" s="52" t="str">
        <f t="shared" si="22"/>
        <v>musbet</v>
      </c>
      <c r="N173" s="19" t="str">
        <f t="shared" si="23"/>
        <v>Laləzar Bayramov 26921</v>
      </c>
    </row>
    <row r="174" spans="1:14" ht="14.25" customHeight="1" x14ac:dyDescent="0.25">
      <c r="A174" s="12" t="s">
        <v>217</v>
      </c>
      <c r="B174" s="12" t="s">
        <v>65</v>
      </c>
      <c r="C174" s="14">
        <v>32934</v>
      </c>
      <c r="D174" s="17">
        <f t="shared" si="17"/>
        <v>1990</v>
      </c>
      <c r="E174" s="16">
        <f t="shared" si="16"/>
        <v>35</v>
      </c>
      <c r="F174" s="12" t="str">
        <f t="shared" si="18"/>
        <v>30=&lt;40</v>
      </c>
      <c r="G174" s="12" t="s">
        <v>42</v>
      </c>
      <c r="H174" s="13">
        <v>600.14</v>
      </c>
      <c r="I174" s="12" t="str">
        <f t="shared" si="19"/>
        <v>&lt;1000 AZN</v>
      </c>
      <c r="J174" s="13">
        <v>1155.3900000000001</v>
      </c>
      <c r="K174" s="12" t="str">
        <f t="shared" si="20"/>
        <v>1000=&lt;2000 AZN</v>
      </c>
      <c r="L174" s="13">
        <f t="shared" si="21"/>
        <v>-555.25000000000011</v>
      </c>
      <c r="M174" s="52" t="str">
        <f t="shared" si="22"/>
        <v>menfi</v>
      </c>
      <c r="N174" s="19" t="str">
        <f t="shared" si="23"/>
        <v>Nəzakət Cabbarov 32934</v>
      </c>
    </row>
    <row r="175" spans="1:14" ht="14.25" customHeight="1" x14ac:dyDescent="0.25">
      <c r="A175" s="12" t="s">
        <v>218</v>
      </c>
      <c r="B175" s="12" t="s">
        <v>65</v>
      </c>
      <c r="C175" s="14">
        <v>35048</v>
      </c>
      <c r="D175" s="17">
        <f t="shared" si="17"/>
        <v>1995</v>
      </c>
      <c r="E175" s="16">
        <f t="shared" si="16"/>
        <v>30</v>
      </c>
      <c r="F175" s="12" t="str">
        <f t="shared" si="18"/>
        <v>30=&lt;40</v>
      </c>
      <c r="G175" s="12" t="s">
        <v>60</v>
      </c>
      <c r="H175" s="13">
        <v>2602.8200000000002</v>
      </c>
      <c r="I175" s="12" t="str">
        <f t="shared" si="19"/>
        <v>2000=&lt;3000 AZN</v>
      </c>
      <c r="J175" s="13">
        <v>3224.47</v>
      </c>
      <c r="K175" s="12" t="str">
        <f t="shared" si="20"/>
        <v>3000=&lt;4000 AZN</v>
      </c>
      <c r="L175" s="13">
        <f t="shared" si="21"/>
        <v>-621.64999999999964</v>
      </c>
      <c r="M175" s="52" t="str">
        <f t="shared" si="22"/>
        <v>menfi</v>
      </c>
      <c r="N175" s="19" t="str">
        <f t="shared" si="23"/>
        <v>Firdovsi Cabbarov 35048</v>
      </c>
    </row>
    <row r="176" spans="1:14" ht="14.25" customHeight="1" x14ac:dyDescent="0.25">
      <c r="A176" s="12" t="s">
        <v>219</v>
      </c>
      <c r="B176" s="12" t="s">
        <v>48</v>
      </c>
      <c r="C176" s="14">
        <v>29362</v>
      </c>
      <c r="D176" s="17">
        <f t="shared" si="17"/>
        <v>1980</v>
      </c>
      <c r="E176" s="16">
        <f t="shared" si="16"/>
        <v>45</v>
      </c>
      <c r="F176" s="12" t="str">
        <f t="shared" si="18"/>
        <v>40=&lt;60</v>
      </c>
      <c r="G176" s="12" t="s">
        <v>51</v>
      </c>
      <c r="H176" s="13">
        <v>3579.6</v>
      </c>
      <c r="I176" s="12" t="str">
        <f t="shared" si="19"/>
        <v>3000=&lt;4000 AZN</v>
      </c>
      <c r="J176" s="13">
        <v>506.6</v>
      </c>
      <c r="K176" s="12" t="str">
        <f t="shared" si="20"/>
        <v>&lt;1000 AZN</v>
      </c>
      <c r="L176" s="13">
        <f t="shared" si="21"/>
        <v>3073</v>
      </c>
      <c r="M176" s="52" t="str">
        <f t="shared" si="22"/>
        <v>musbet</v>
      </c>
      <c r="N176" s="19" t="str">
        <f t="shared" si="23"/>
        <v>Üzeyir Abbasbəyli 29362</v>
      </c>
    </row>
    <row r="177" spans="1:14" ht="14.25" customHeight="1" x14ac:dyDescent="0.25">
      <c r="A177" s="12" t="s">
        <v>220</v>
      </c>
      <c r="B177" s="12" t="s">
        <v>26</v>
      </c>
      <c r="C177" s="14">
        <v>27079</v>
      </c>
      <c r="D177" s="17">
        <f t="shared" si="17"/>
        <v>1974</v>
      </c>
      <c r="E177" s="16">
        <f t="shared" si="16"/>
        <v>51</v>
      </c>
      <c r="F177" s="12" t="str">
        <f t="shared" si="18"/>
        <v>40=&lt;60</v>
      </c>
      <c r="G177" s="12" t="s">
        <v>58</v>
      </c>
      <c r="H177" s="13">
        <v>3525.02</v>
      </c>
      <c r="I177" s="12" t="str">
        <f t="shared" si="19"/>
        <v>3000=&lt;4000 AZN</v>
      </c>
      <c r="J177" s="13">
        <v>4542.6899999999996</v>
      </c>
      <c r="K177" s="12" t="str">
        <f t="shared" si="20"/>
        <v>4000=&lt;5000 AZN</v>
      </c>
      <c r="L177" s="13">
        <f t="shared" si="21"/>
        <v>-1017.6699999999996</v>
      </c>
      <c r="M177" s="52" t="str">
        <f t="shared" si="22"/>
        <v>menfi</v>
      </c>
      <c r="N177" s="19" t="str">
        <f t="shared" si="23"/>
        <v>Nazilə Həsənli 27079</v>
      </c>
    </row>
    <row r="178" spans="1:14" ht="14.25" customHeight="1" x14ac:dyDescent="0.25">
      <c r="A178" s="12" t="s">
        <v>221</v>
      </c>
      <c r="B178" s="12" t="s">
        <v>44</v>
      </c>
      <c r="C178" s="14">
        <v>23936</v>
      </c>
      <c r="D178" s="17">
        <f t="shared" si="17"/>
        <v>1965</v>
      </c>
      <c r="E178" s="16">
        <f t="shared" si="16"/>
        <v>60</v>
      </c>
      <c r="F178" s="12" t="str">
        <f t="shared" si="18"/>
        <v>60=&lt;</v>
      </c>
      <c r="G178" s="12" t="s">
        <v>60</v>
      </c>
      <c r="H178" s="13">
        <v>3484.31</v>
      </c>
      <c r="I178" s="12" t="str">
        <f t="shared" si="19"/>
        <v>3000=&lt;4000 AZN</v>
      </c>
      <c r="J178" s="13">
        <v>623.66999999999996</v>
      </c>
      <c r="K178" s="12" t="str">
        <f t="shared" si="20"/>
        <v>&lt;1000 AZN</v>
      </c>
      <c r="L178" s="13">
        <f t="shared" si="21"/>
        <v>2860.64</v>
      </c>
      <c r="M178" s="52" t="str">
        <f t="shared" si="22"/>
        <v>musbet</v>
      </c>
      <c r="N178" s="19" t="str">
        <f t="shared" si="23"/>
        <v>Paşa Təhmin 23936</v>
      </c>
    </row>
    <row r="179" spans="1:14" ht="14.25" customHeight="1" x14ac:dyDescent="0.25">
      <c r="A179" s="12" t="s">
        <v>222</v>
      </c>
      <c r="B179" s="12" t="s">
        <v>48</v>
      </c>
      <c r="C179" s="14">
        <v>27037</v>
      </c>
      <c r="D179" s="17">
        <f t="shared" si="17"/>
        <v>1974</v>
      </c>
      <c r="E179" s="16">
        <f t="shared" si="16"/>
        <v>51</v>
      </c>
      <c r="F179" s="12" t="str">
        <f t="shared" si="18"/>
        <v>40=&lt;60</v>
      </c>
      <c r="G179" s="12" t="s">
        <v>53</v>
      </c>
      <c r="H179" s="13">
        <v>413.43</v>
      </c>
      <c r="I179" s="12" t="str">
        <f t="shared" si="19"/>
        <v>&lt;1000 AZN</v>
      </c>
      <c r="J179" s="13">
        <v>4886.96</v>
      </c>
      <c r="K179" s="12" t="str">
        <f t="shared" si="20"/>
        <v>4000=&lt;5000 AZN</v>
      </c>
      <c r="L179" s="13">
        <f t="shared" si="21"/>
        <v>-4473.53</v>
      </c>
      <c r="M179" s="52" t="str">
        <f t="shared" si="22"/>
        <v>menfi</v>
      </c>
      <c r="N179" s="19" t="str">
        <f t="shared" si="23"/>
        <v>Fikrət Abbasbəyli 27037</v>
      </c>
    </row>
    <row r="180" spans="1:14" ht="14.25" customHeight="1" x14ac:dyDescent="0.25">
      <c r="A180" s="12" t="s">
        <v>223</v>
      </c>
      <c r="B180" s="12" t="s">
        <v>28</v>
      </c>
      <c r="C180" s="14">
        <v>27672</v>
      </c>
      <c r="D180" s="17">
        <f t="shared" si="17"/>
        <v>1975</v>
      </c>
      <c r="E180" s="16">
        <f t="shared" si="16"/>
        <v>50</v>
      </c>
      <c r="F180" s="12" t="str">
        <f t="shared" si="18"/>
        <v>40=&lt;60</v>
      </c>
      <c r="G180" s="12" t="s">
        <v>40</v>
      </c>
      <c r="H180" s="13">
        <v>1180.22</v>
      </c>
      <c r="I180" s="12" t="str">
        <f t="shared" si="19"/>
        <v>1000=&lt;2000 AZN</v>
      </c>
      <c r="J180" s="13">
        <v>1707.34</v>
      </c>
      <c r="K180" s="12" t="str">
        <f t="shared" si="20"/>
        <v>1000=&lt;2000 AZN</v>
      </c>
      <c r="L180" s="13">
        <f t="shared" si="21"/>
        <v>-527.11999999999989</v>
      </c>
      <c r="M180" s="52" t="str">
        <f t="shared" si="22"/>
        <v>menfi</v>
      </c>
      <c r="N180" s="19" t="str">
        <f t="shared" si="23"/>
        <v>Əjdər Mirzəyev 27672</v>
      </c>
    </row>
    <row r="181" spans="1:14" ht="14.25" customHeight="1" x14ac:dyDescent="0.25">
      <c r="A181" s="12" t="s">
        <v>224</v>
      </c>
      <c r="B181" s="12" t="s">
        <v>29</v>
      </c>
      <c r="C181" s="14">
        <v>31496</v>
      </c>
      <c r="D181" s="17">
        <f t="shared" si="17"/>
        <v>1986</v>
      </c>
      <c r="E181" s="16">
        <f t="shared" si="16"/>
        <v>39</v>
      </c>
      <c r="F181" s="12" t="str">
        <f t="shared" si="18"/>
        <v>30=&lt;40</v>
      </c>
      <c r="G181" s="12" t="s">
        <v>40</v>
      </c>
      <c r="H181" s="13">
        <v>4441.1099999999997</v>
      </c>
      <c r="I181" s="12" t="str">
        <f t="shared" si="19"/>
        <v>4000=&lt;5000 AZN</v>
      </c>
      <c r="J181" s="13">
        <v>1645.9</v>
      </c>
      <c r="K181" s="12" t="str">
        <f t="shared" si="20"/>
        <v>1000=&lt;2000 AZN</v>
      </c>
      <c r="L181" s="13">
        <f t="shared" si="21"/>
        <v>2795.2099999999996</v>
      </c>
      <c r="M181" s="52" t="str">
        <f t="shared" si="22"/>
        <v>musbet</v>
      </c>
      <c r="N181" s="19" t="str">
        <f t="shared" si="23"/>
        <v>Muxtar Bayramov 31496</v>
      </c>
    </row>
    <row r="182" spans="1:14" ht="14.25" customHeight="1" x14ac:dyDescent="0.25">
      <c r="A182" s="12" t="s">
        <v>225</v>
      </c>
      <c r="B182" s="12" t="s">
        <v>56</v>
      </c>
      <c r="C182" s="14">
        <v>24736</v>
      </c>
      <c r="D182" s="17">
        <f t="shared" si="17"/>
        <v>1967</v>
      </c>
      <c r="E182" s="16">
        <f t="shared" si="16"/>
        <v>58</v>
      </c>
      <c r="F182" s="12" t="str">
        <f t="shared" si="18"/>
        <v>40=&lt;60</v>
      </c>
      <c r="G182" s="12" t="s">
        <v>49</v>
      </c>
      <c r="H182" s="13">
        <v>2653.5</v>
      </c>
      <c r="I182" s="12" t="str">
        <f t="shared" si="19"/>
        <v>2000=&lt;3000 AZN</v>
      </c>
      <c r="J182" s="13">
        <v>1943.83</v>
      </c>
      <c r="K182" s="12" t="str">
        <f t="shared" si="20"/>
        <v>1000=&lt;2000 AZN</v>
      </c>
      <c r="L182" s="13">
        <f t="shared" si="21"/>
        <v>709.67000000000007</v>
      </c>
      <c r="M182" s="52" t="str">
        <f t="shared" si="22"/>
        <v>musbet</v>
      </c>
      <c r="N182" s="19" t="str">
        <f t="shared" si="23"/>
        <v>Gülarə Talıbzadə 24736</v>
      </c>
    </row>
    <row r="183" spans="1:14" ht="14.25" customHeight="1" x14ac:dyDescent="0.25">
      <c r="A183" s="12" t="s">
        <v>226</v>
      </c>
      <c r="B183" s="12" t="s">
        <v>29</v>
      </c>
      <c r="C183" s="14">
        <v>25847</v>
      </c>
      <c r="D183" s="17">
        <f t="shared" si="17"/>
        <v>1970</v>
      </c>
      <c r="E183" s="16">
        <f t="shared" si="16"/>
        <v>55</v>
      </c>
      <c r="F183" s="12" t="str">
        <f t="shared" si="18"/>
        <v>40=&lt;60</v>
      </c>
      <c r="G183" s="12" t="s">
        <v>63</v>
      </c>
      <c r="H183" s="13">
        <v>4701.3599999999997</v>
      </c>
      <c r="I183" s="12" t="str">
        <f t="shared" si="19"/>
        <v>4000=&lt;5000 AZN</v>
      </c>
      <c r="J183" s="13">
        <v>3410.06</v>
      </c>
      <c r="K183" s="12" t="str">
        <f t="shared" si="20"/>
        <v>3000=&lt;4000 AZN</v>
      </c>
      <c r="L183" s="13">
        <f t="shared" si="21"/>
        <v>1291.2999999999997</v>
      </c>
      <c r="M183" s="52" t="str">
        <f t="shared" si="22"/>
        <v>musbet</v>
      </c>
      <c r="N183" s="19" t="str">
        <f t="shared" si="23"/>
        <v>Telman Bayramov 25847</v>
      </c>
    </row>
    <row r="184" spans="1:14" ht="14.25" customHeight="1" x14ac:dyDescent="0.25">
      <c r="A184" s="12" t="s">
        <v>227</v>
      </c>
      <c r="B184" s="12" t="s">
        <v>30</v>
      </c>
      <c r="C184" s="14">
        <v>23979</v>
      </c>
      <c r="D184" s="17">
        <f t="shared" si="17"/>
        <v>1965</v>
      </c>
      <c r="E184" s="16">
        <f t="shared" si="16"/>
        <v>60</v>
      </c>
      <c r="F184" s="12" t="str">
        <f t="shared" si="18"/>
        <v>60=&lt;</v>
      </c>
      <c r="G184" s="12" t="s">
        <v>40</v>
      </c>
      <c r="H184" s="13">
        <v>2490.08</v>
      </c>
      <c r="I184" s="12" t="str">
        <f t="shared" si="19"/>
        <v>2000=&lt;3000 AZN</v>
      </c>
      <c r="J184" s="13">
        <v>3495.98</v>
      </c>
      <c r="K184" s="12" t="str">
        <f t="shared" si="20"/>
        <v>3000=&lt;4000 AZN</v>
      </c>
      <c r="L184" s="13">
        <f t="shared" si="21"/>
        <v>-1005.9000000000001</v>
      </c>
      <c r="M184" s="52" t="str">
        <f t="shared" si="22"/>
        <v>menfi</v>
      </c>
      <c r="N184" s="19" t="str">
        <f t="shared" si="23"/>
        <v>Fəridə Bəktaşi 23979</v>
      </c>
    </row>
    <row r="185" spans="1:14" ht="14.25" customHeight="1" x14ac:dyDescent="0.25">
      <c r="A185" s="12" t="s">
        <v>228</v>
      </c>
      <c r="B185" s="12" t="s">
        <v>39</v>
      </c>
      <c r="C185" s="14">
        <v>31470</v>
      </c>
      <c r="D185" s="17">
        <f t="shared" si="17"/>
        <v>1986</v>
      </c>
      <c r="E185" s="16">
        <f t="shared" si="16"/>
        <v>39</v>
      </c>
      <c r="F185" s="12" t="str">
        <f t="shared" si="18"/>
        <v>30=&lt;40</v>
      </c>
      <c r="G185" s="12" t="s">
        <v>45</v>
      </c>
      <c r="H185" s="13">
        <v>4277.47</v>
      </c>
      <c r="I185" s="12" t="str">
        <f t="shared" si="19"/>
        <v>4000=&lt;5000 AZN</v>
      </c>
      <c r="J185" s="13">
        <v>499.68</v>
      </c>
      <c r="K185" s="12" t="str">
        <f t="shared" si="20"/>
        <v>&lt;1000 AZN</v>
      </c>
      <c r="L185" s="13">
        <f t="shared" si="21"/>
        <v>3777.7900000000004</v>
      </c>
      <c r="M185" s="52" t="str">
        <f t="shared" si="22"/>
        <v>musbet</v>
      </c>
      <c r="N185" s="19" t="str">
        <f t="shared" si="23"/>
        <v>Nurlana Düzgün 31470</v>
      </c>
    </row>
    <row r="186" spans="1:14" ht="14.25" customHeight="1" x14ac:dyDescent="0.25">
      <c r="A186" s="12" t="s">
        <v>229</v>
      </c>
      <c r="B186" s="12" t="s">
        <v>27</v>
      </c>
      <c r="C186" s="14">
        <v>24428</v>
      </c>
      <c r="D186" s="17">
        <f t="shared" si="17"/>
        <v>1966</v>
      </c>
      <c r="E186" s="16">
        <f t="shared" si="16"/>
        <v>59</v>
      </c>
      <c r="F186" s="12" t="str">
        <f t="shared" si="18"/>
        <v>40=&lt;60</v>
      </c>
      <c r="G186" s="12" t="s">
        <v>49</v>
      </c>
      <c r="H186" s="13">
        <v>3150.58</v>
      </c>
      <c r="I186" s="12" t="str">
        <f t="shared" si="19"/>
        <v>3000=&lt;4000 AZN</v>
      </c>
      <c r="J186" s="13">
        <v>2991.3</v>
      </c>
      <c r="K186" s="12" t="str">
        <f t="shared" si="20"/>
        <v>2000=&lt;3000 AZN</v>
      </c>
      <c r="L186" s="13">
        <f t="shared" si="21"/>
        <v>159.27999999999975</v>
      </c>
      <c r="M186" s="52" t="str">
        <f t="shared" si="22"/>
        <v>musbet</v>
      </c>
      <c r="N186" s="19" t="str">
        <f t="shared" si="23"/>
        <v>Raziyə Vurğun 24428</v>
      </c>
    </row>
    <row r="187" spans="1:14" ht="14.25" customHeight="1" x14ac:dyDescent="0.25">
      <c r="A187" s="12" t="s">
        <v>230</v>
      </c>
      <c r="B187" s="12" t="s">
        <v>56</v>
      </c>
      <c r="C187" s="14">
        <v>37269</v>
      </c>
      <c r="D187" s="17">
        <f t="shared" si="17"/>
        <v>2002</v>
      </c>
      <c r="E187" s="16">
        <f t="shared" si="16"/>
        <v>23</v>
      </c>
      <c r="F187" s="12" t="str">
        <f t="shared" si="18"/>
        <v>20=&lt;30</v>
      </c>
      <c r="G187" s="12" t="s">
        <v>49</v>
      </c>
      <c r="H187" s="13">
        <v>2021.54</v>
      </c>
      <c r="I187" s="12" t="str">
        <f t="shared" si="19"/>
        <v>2000=&lt;3000 AZN</v>
      </c>
      <c r="J187" s="13">
        <v>4291.18</v>
      </c>
      <c r="K187" s="12" t="str">
        <f t="shared" si="20"/>
        <v>4000=&lt;5000 AZN</v>
      </c>
      <c r="L187" s="13">
        <f t="shared" si="21"/>
        <v>-2269.6400000000003</v>
      </c>
      <c r="M187" s="52" t="str">
        <f t="shared" si="22"/>
        <v>menfi</v>
      </c>
      <c r="N187" s="19" t="str">
        <f t="shared" si="23"/>
        <v>Kənan Talıbzadə 37269</v>
      </c>
    </row>
    <row r="188" spans="1:14" ht="14.25" customHeight="1" x14ac:dyDescent="0.25">
      <c r="A188" s="12" t="s">
        <v>231</v>
      </c>
      <c r="B188" s="12" t="s">
        <v>28</v>
      </c>
      <c r="C188" s="14">
        <v>23431</v>
      </c>
      <c r="D188" s="17">
        <f t="shared" si="17"/>
        <v>1964</v>
      </c>
      <c r="E188" s="16">
        <f t="shared" si="16"/>
        <v>61</v>
      </c>
      <c r="F188" s="12" t="str">
        <f t="shared" si="18"/>
        <v>60=&lt;</v>
      </c>
      <c r="G188" s="12" t="s">
        <v>53</v>
      </c>
      <c r="H188" s="13">
        <v>2657.37</v>
      </c>
      <c r="I188" s="12" t="str">
        <f t="shared" si="19"/>
        <v>2000=&lt;3000 AZN</v>
      </c>
      <c r="J188" s="13">
        <v>1207.33</v>
      </c>
      <c r="K188" s="12" t="str">
        <f t="shared" si="20"/>
        <v>1000=&lt;2000 AZN</v>
      </c>
      <c r="L188" s="13">
        <f t="shared" si="21"/>
        <v>1450.04</v>
      </c>
      <c r="M188" s="52" t="str">
        <f t="shared" si="22"/>
        <v>musbet</v>
      </c>
      <c r="N188" s="19" t="str">
        <f t="shared" si="23"/>
        <v>Məryəm Mirzəyev 23431</v>
      </c>
    </row>
    <row r="189" spans="1:14" ht="14.25" customHeight="1" x14ac:dyDescent="0.25">
      <c r="A189" s="12" t="s">
        <v>232</v>
      </c>
      <c r="B189" s="12" t="s">
        <v>26</v>
      </c>
      <c r="C189" s="14">
        <v>25525</v>
      </c>
      <c r="D189" s="17">
        <f t="shared" si="17"/>
        <v>1969</v>
      </c>
      <c r="E189" s="16">
        <f t="shared" si="16"/>
        <v>56</v>
      </c>
      <c r="F189" s="12" t="str">
        <f t="shared" si="18"/>
        <v>40=&lt;60</v>
      </c>
      <c r="G189" s="12" t="s">
        <v>42</v>
      </c>
      <c r="H189" s="13">
        <v>934.57</v>
      </c>
      <c r="I189" s="12" t="str">
        <f t="shared" si="19"/>
        <v>&lt;1000 AZN</v>
      </c>
      <c r="J189" s="13">
        <v>4648.2700000000004</v>
      </c>
      <c r="K189" s="12" t="str">
        <f t="shared" si="20"/>
        <v>4000=&lt;5000 AZN</v>
      </c>
      <c r="L189" s="13">
        <f t="shared" si="21"/>
        <v>-3713.7000000000003</v>
      </c>
      <c r="M189" s="52" t="str">
        <f t="shared" si="22"/>
        <v>menfi</v>
      </c>
      <c r="N189" s="19" t="str">
        <f t="shared" si="23"/>
        <v>Hikmət Həsənli 25525</v>
      </c>
    </row>
    <row r="190" spans="1:14" ht="14.25" customHeight="1" x14ac:dyDescent="0.25">
      <c r="A190" s="12" t="s">
        <v>233</v>
      </c>
      <c r="B190" s="12" t="s">
        <v>29</v>
      </c>
      <c r="C190" s="14">
        <v>33176</v>
      </c>
      <c r="D190" s="17">
        <f t="shared" si="17"/>
        <v>1990</v>
      </c>
      <c r="E190" s="16">
        <f t="shared" si="16"/>
        <v>35</v>
      </c>
      <c r="F190" s="12" t="str">
        <f t="shared" si="18"/>
        <v>30=&lt;40</v>
      </c>
      <c r="G190" s="12" t="s">
        <v>53</v>
      </c>
      <c r="H190" s="13">
        <v>2481.61</v>
      </c>
      <c r="I190" s="12" t="str">
        <f t="shared" si="19"/>
        <v>2000=&lt;3000 AZN</v>
      </c>
      <c r="J190" s="13">
        <v>398.49</v>
      </c>
      <c r="K190" s="12" t="str">
        <f t="shared" si="20"/>
        <v>&lt;1000 AZN</v>
      </c>
      <c r="L190" s="13">
        <f t="shared" si="21"/>
        <v>2083.12</v>
      </c>
      <c r="M190" s="52" t="str">
        <f t="shared" si="22"/>
        <v>musbet</v>
      </c>
      <c r="N190" s="19" t="str">
        <f t="shared" si="23"/>
        <v>Qalib Bayramov 33176</v>
      </c>
    </row>
    <row r="191" spans="1:14" ht="14.25" customHeight="1" x14ac:dyDescent="0.25">
      <c r="A191" s="12" t="s">
        <v>234</v>
      </c>
      <c r="B191" s="12" t="s">
        <v>27</v>
      </c>
      <c r="C191" s="14">
        <v>30224</v>
      </c>
      <c r="D191" s="17">
        <f t="shared" si="17"/>
        <v>1982</v>
      </c>
      <c r="E191" s="16">
        <f t="shared" si="16"/>
        <v>43</v>
      </c>
      <c r="F191" s="12" t="str">
        <f t="shared" si="18"/>
        <v>40=&lt;60</v>
      </c>
      <c r="G191" s="12" t="s">
        <v>42</v>
      </c>
      <c r="H191" s="13">
        <v>1661.46</v>
      </c>
      <c r="I191" s="12" t="str">
        <f t="shared" si="19"/>
        <v>1000=&lt;2000 AZN</v>
      </c>
      <c r="J191" s="13">
        <v>3430.05</v>
      </c>
      <c r="K191" s="12" t="str">
        <f t="shared" si="20"/>
        <v>3000=&lt;4000 AZN</v>
      </c>
      <c r="L191" s="13">
        <f t="shared" si="21"/>
        <v>-1768.5900000000001</v>
      </c>
      <c r="M191" s="52" t="str">
        <f t="shared" si="22"/>
        <v>menfi</v>
      </c>
      <c r="N191" s="19" t="str">
        <f t="shared" si="23"/>
        <v>Yusif Vurğun 30224</v>
      </c>
    </row>
    <row r="192" spans="1:14" ht="14.25" customHeight="1" x14ac:dyDescent="0.25">
      <c r="A192" s="12" t="s">
        <v>235</v>
      </c>
      <c r="B192" s="12" t="s">
        <v>29</v>
      </c>
      <c r="C192" s="14">
        <v>34934</v>
      </c>
      <c r="D192" s="17">
        <f t="shared" si="17"/>
        <v>1995</v>
      </c>
      <c r="E192" s="16">
        <f t="shared" si="16"/>
        <v>30</v>
      </c>
      <c r="F192" s="12" t="str">
        <f t="shared" si="18"/>
        <v>30=&lt;40</v>
      </c>
      <c r="G192" s="12" t="s">
        <v>53</v>
      </c>
      <c r="H192" s="13">
        <v>545.11</v>
      </c>
      <c r="I192" s="12" t="str">
        <f t="shared" si="19"/>
        <v>&lt;1000 AZN</v>
      </c>
      <c r="J192" s="13">
        <v>3925.41</v>
      </c>
      <c r="K192" s="12" t="str">
        <f t="shared" si="20"/>
        <v>3000=&lt;4000 AZN</v>
      </c>
      <c r="L192" s="13">
        <f t="shared" si="21"/>
        <v>-3380.2999999999997</v>
      </c>
      <c r="M192" s="52" t="str">
        <f t="shared" si="22"/>
        <v>menfi</v>
      </c>
      <c r="N192" s="19" t="str">
        <f t="shared" si="23"/>
        <v>Ceyhun Bayramov 34934</v>
      </c>
    </row>
    <row r="193" spans="1:14" ht="14.25" customHeight="1" x14ac:dyDescent="0.25">
      <c r="A193" s="12" t="s">
        <v>236</v>
      </c>
      <c r="B193" s="12" t="s">
        <v>44</v>
      </c>
      <c r="C193" s="14">
        <v>24238</v>
      </c>
      <c r="D193" s="17">
        <f t="shared" si="17"/>
        <v>1966</v>
      </c>
      <c r="E193" s="16">
        <f t="shared" si="16"/>
        <v>59</v>
      </c>
      <c r="F193" s="12" t="str">
        <f t="shared" si="18"/>
        <v>40=&lt;60</v>
      </c>
      <c r="G193" s="12" t="s">
        <v>45</v>
      </c>
      <c r="H193" s="13">
        <v>3745.04</v>
      </c>
      <c r="I193" s="12" t="str">
        <f t="shared" si="19"/>
        <v>3000=&lt;4000 AZN</v>
      </c>
      <c r="J193" s="13">
        <v>4030.27</v>
      </c>
      <c r="K193" s="12" t="str">
        <f t="shared" si="20"/>
        <v>4000=&lt;5000 AZN</v>
      </c>
      <c r="L193" s="13">
        <f t="shared" si="21"/>
        <v>-285.23</v>
      </c>
      <c r="M193" s="52" t="str">
        <f t="shared" si="22"/>
        <v>menfi</v>
      </c>
      <c r="N193" s="19" t="str">
        <f t="shared" si="23"/>
        <v>Cümşüd Təhmin 24238</v>
      </c>
    </row>
    <row r="194" spans="1:14" ht="14.25" customHeight="1" x14ac:dyDescent="0.25">
      <c r="A194" s="12" t="s">
        <v>237</v>
      </c>
      <c r="B194" s="12" t="s">
        <v>44</v>
      </c>
      <c r="C194" s="14">
        <v>24445</v>
      </c>
      <c r="D194" s="17">
        <f t="shared" si="17"/>
        <v>1966</v>
      </c>
      <c r="E194" s="16">
        <f t="shared" ref="E194:E257" si="24">2025-D194</f>
        <v>59</v>
      </c>
      <c r="F194" s="12" t="str">
        <f t="shared" si="18"/>
        <v>40=&lt;60</v>
      </c>
      <c r="G194" s="12" t="s">
        <v>51</v>
      </c>
      <c r="H194" s="13">
        <v>1236.25</v>
      </c>
      <c r="I194" s="12" t="str">
        <f t="shared" si="19"/>
        <v>1000=&lt;2000 AZN</v>
      </c>
      <c r="J194" s="13">
        <v>2294.1</v>
      </c>
      <c r="K194" s="12" t="str">
        <f t="shared" si="20"/>
        <v>2000=&lt;3000 AZN</v>
      </c>
      <c r="L194" s="13">
        <f t="shared" si="21"/>
        <v>-1057.8499999999999</v>
      </c>
      <c r="M194" s="52" t="str">
        <f t="shared" si="22"/>
        <v>menfi</v>
      </c>
      <c r="N194" s="19" t="str">
        <f t="shared" si="23"/>
        <v>İntiqam Təhmin 24445</v>
      </c>
    </row>
    <row r="195" spans="1:14" ht="14.25" customHeight="1" x14ac:dyDescent="0.25">
      <c r="A195" s="12" t="s">
        <v>238</v>
      </c>
      <c r="B195" s="12" t="s">
        <v>26</v>
      </c>
      <c r="C195" s="14">
        <v>35532</v>
      </c>
      <c r="D195" s="17">
        <f t="shared" ref="D195:D258" si="25">YEAR(C195)</f>
        <v>1997</v>
      </c>
      <c r="E195" s="16">
        <f t="shared" si="24"/>
        <v>28</v>
      </c>
      <c r="F195" s="12" t="str">
        <f t="shared" ref="F195:F258" si="26">IF(AND(E195&gt;=0,E195&lt;20),"0=&lt;20",IF(AND(E195&gt;=20,E195&lt;30),"20=&lt;30",IF(AND(E195&gt;=30,E195&lt;40),"30=&lt;40",IF(AND(E195&gt;=40,E195&lt;60),"40=&lt;60",IF(AND(E195&gt;=60),"60=&lt;")))))</f>
        <v>20=&lt;30</v>
      </c>
      <c r="G195" s="12" t="s">
        <v>45</v>
      </c>
      <c r="H195" s="13">
        <v>2067.67</v>
      </c>
      <c r="I195" s="12" t="str">
        <f t="shared" ref="I195:I258" si="27">IF(AND(H195&lt;1000),"&lt;1000 AZN",IF(AND(H195&gt;=1000,H195&lt;2000),"1000=&lt;2000 AZN",IF(AND(H195&gt;=2000,H195&lt;3000),"2000=&lt;3000 AZN",IF(AND(H195&gt;=3000,H195&lt;4000),"3000=&lt;4000 AZN",IF(AND(H195&gt;=4000,H195&lt;5000),"4000=&lt;5000 AZN",IF(AND(H195&gt;=5000,),"5000=&lt;  AZN"))))))</f>
        <v>2000=&lt;3000 AZN</v>
      </c>
      <c r="J195" s="13">
        <v>2039.44</v>
      </c>
      <c r="K195" s="12" t="str">
        <f t="shared" ref="K195:K258" si="28">IF(AND(J195&lt;1000),"&lt;1000 AZN",IF(AND(J195&gt;=1000,J195&lt;2000),"1000=&lt;2000 AZN",IF(AND(J195&gt;=2000,J195&lt;3000),"2000=&lt;3000 AZN",IF(AND(J195&gt;=3000,J195&lt;4000),"3000=&lt;4000 AZN",IF(AND(J195&gt;=4000,J195&lt;5000),"4000=&lt;5000 AZN",IF(AND(J195&gt;=5000,),"5000=&lt;  AZN"))))))</f>
        <v>2000=&lt;3000 AZN</v>
      </c>
      <c r="L195" s="13">
        <f t="shared" ref="L195:L258" si="29">H195-J195</f>
        <v>28.230000000000018</v>
      </c>
      <c r="M195" s="52" t="str">
        <f t="shared" ref="M195:M258" si="30">IF(L195&lt;0,"menfi","musbet")</f>
        <v>musbet</v>
      </c>
      <c r="N195" s="19" t="str">
        <f t="shared" ref="N195:N258" si="31">_xlfn.CONCAT(A195," ",B195," ",C195)</f>
        <v>Ələkbər Həsənli 35532</v>
      </c>
    </row>
    <row r="196" spans="1:14" ht="14.25" customHeight="1" x14ac:dyDescent="0.25">
      <c r="A196" s="12" t="s">
        <v>239</v>
      </c>
      <c r="B196" s="12" t="s">
        <v>28</v>
      </c>
      <c r="C196" s="14">
        <v>23991</v>
      </c>
      <c r="D196" s="17">
        <f t="shared" si="25"/>
        <v>1965</v>
      </c>
      <c r="E196" s="16">
        <f t="shared" si="24"/>
        <v>60</v>
      </c>
      <c r="F196" s="12" t="str">
        <f t="shared" si="26"/>
        <v>60=&lt;</v>
      </c>
      <c r="G196" s="12" t="s">
        <v>63</v>
      </c>
      <c r="H196" s="13">
        <v>4901.32</v>
      </c>
      <c r="I196" s="12" t="str">
        <f t="shared" si="27"/>
        <v>4000=&lt;5000 AZN</v>
      </c>
      <c r="J196" s="13">
        <v>3518.73</v>
      </c>
      <c r="K196" s="12" t="str">
        <f t="shared" si="28"/>
        <v>3000=&lt;4000 AZN</v>
      </c>
      <c r="L196" s="13">
        <f t="shared" si="29"/>
        <v>1382.5899999999997</v>
      </c>
      <c r="M196" s="52" t="str">
        <f t="shared" si="30"/>
        <v>musbet</v>
      </c>
      <c r="N196" s="19" t="str">
        <f t="shared" si="31"/>
        <v>Adil Mirzəyev 23991</v>
      </c>
    </row>
    <row r="197" spans="1:14" ht="14.25" customHeight="1" x14ac:dyDescent="0.25">
      <c r="A197" s="12" t="s">
        <v>240</v>
      </c>
      <c r="B197" s="12" t="s">
        <v>39</v>
      </c>
      <c r="C197" s="14">
        <v>22353</v>
      </c>
      <c r="D197" s="17">
        <f t="shared" si="25"/>
        <v>1961</v>
      </c>
      <c r="E197" s="16">
        <f t="shared" si="24"/>
        <v>64</v>
      </c>
      <c r="F197" s="12" t="str">
        <f t="shared" si="26"/>
        <v>60=&lt;</v>
      </c>
      <c r="G197" s="12" t="s">
        <v>66</v>
      </c>
      <c r="H197" s="13">
        <v>2483.7399999999998</v>
      </c>
      <c r="I197" s="12" t="str">
        <f t="shared" si="27"/>
        <v>2000=&lt;3000 AZN</v>
      </c>
      <c r="J197" s="13">
        <v>914.69</v>
      </c>
      <c r="K197" s="12" t="str">
        <f t="shared" si="28"/>
        <v>&lt;1000 AZN</v>
      </c>
      <c r="L197" s="13">
        <f t="shared" si="29"/>
        <v>1569.0499999999997</v>
      </c>
      <c r="M197" s="52" t="str">
        <f t="shared" si="30"/>
        <v>musbet</v>
      </c>
      <c r="N197" s="19" t="str">
        <f t="shared" si="31"/>
        <v>Teymuraz Düzgün 22353</v>
      </c>
    </row>
    <row r="198" spans="1:14" ht="14.25" customHeight="1" x14ac:dyDescent="0.25">
      <c r="A198" s="12" t="s">
        <v>241</v>
      </c>
      <c r="B198" s="12" t="s">
        <v>28</v>
      </c>
      <c r="C198" s="14">
        <v>33369</v>
      </c>
      <c r="D198" s="17">
        <f t="shared" si="25"/>
        <v>1991</v>
      </c>
      <c r="E198" s="16">
        <f t="shared" si="24"/>
        <v>34</v>
      </c>
      <c r="F198" s="12" t="str">
        <f t="shared" si="26"/>
        <v>30=&lt;40</v>
      </c>
      <c r="G198" s="12" t="s">
        <v>53</v>
      </c>
      <c r="H198" s="13">
        <v>4567.8500000000004</v>
      </c>
      <c r="I198" s="12" t="str">
        <f t="shared" si="27"/>
        <v>4000=&lt;5000 AZN</v>
      </c>
      <c r="J198" s="13">
        <v>3057.23</v>
      </c>
      <c r="K198" s="12" t="str">
        <f t="shared" si="28"/>
        <v>3000=&lt;4000 AZN</v>
      </c>
      <c r="L198" s="13">
        <f t="shared" si="29"/>
        <v>1510.6200000000003</v>
      </c>
      <c r="M198" s="52" t="str">
        <f t="shared" si="30"/>
        <v>musbet</v>
      </c>
      <c r="N198" s="19" t="str">
        <f t="shared" si="31"/>
        <v>Ərtoğrul Mirzəyev 33369</v>
      </c>
    </row>
    <row r="199" spans="1:14" ht="14.25" customHeight="1" x14ac:dyDescent="0.25">
      <c r="A199" s="12" t="s">
        <v>242</v>
      </c>
      <c r="B199" s="12" t="s">
        <v>29</v>
      </c>
      <c r="C199" s="14">
        <v>37188</v>
      </c>
      <c r="D199" s="17">
        <f t="shared" si="25"/>
        <v>2001</v>
      </c>
      <c r="E199" s="16">
        <f t="shared" si="24"/>
        <v>24</v>
      </c>
      <c r="F199" s="12" t="str">
        <f t="shared" si="26"/>
        <v>20=&lt;30</v>
      </c>
      <c r="G199" s="12" t="s">
        <v>51</v>
      </c>
      <c r="H199" s="13">
        <v>4192.1499999999996</v>
      </c>
      <c r="I199" s="12" t="str">
        <f t="shared" si="27"/>
        <v>4000=&lt;5000 AZN</v>
      </c>
      <c r="J199" s="13">
        <v>1622.88</v>
      </c>
      <c r="K199" s="12" t="str">
        <f t="shared" si="28"/>
        <v>1000=&lt;2000 AZN</v>
      </c>
      <c r="L199" s="13">
        <f t="shared" si="29"/>
        <v>2569.2699999999995</v>
      </c>
      <c r="M199" s="52" t="str">
        <f t="shared" si="30"/>
        <v>musbet</v>
      </c>
      <c r="N199" s="19" t="str">
        <f t="shared" si="31"/>
        <v>Qəzənfər Bayramov 37188</v>
      </c>
    </row>
    <row r="200" spans="1:14" ht="14.25" customHeight="1" x14ac:dyDescent="0.25">
      <c r="A200" s="12" t="s">
        <v>243</v>
      </c>
      <c r="B200" s="12" t="s">
        <v>65</v>
      </c>
      <c r="C200" s="14">
        <v>25055</v>
      </c>
      <c r="D200" s="17">
        <f t="shared" si="25"/>
        <v>1968</v>
      </c>
      <c r="E200" s="16">
        <f t="shared" si="24"/>
        <v>57</v>
      </c>
      <c r="F200" s="12" t="str">
        <f t="shared" si="26"/>
        <v>40=&lt;60</v>
      </c>
      <c r="G200" s="12" t="s">
        <v>45</v>
      </c>
      <c r="H200" s="13">
        <v>1625.78</v>
      </c>
      <c r="I200" s="12" t="str">
        <f t="shared" si="27"/>
        <v>1000=&lt;2000 AZN</v>
      </c>
      <c r="J200" s="13">
        <v>1330.15</v>
      </c>
      <c r="K200" s="12" t="str">
        <f t="shared" si="28"/>
        <v>1000=&lt;2000 AZN</v>
      </c>
      <c r="L200" s="13">
        <f t="shared" si="29"/>
        <v>295.62999999999988</v>
      </c>
      <c r="M200" s="52" t="str">
        <f t="shared" si="30"/>
        <v>musbet</v>
      </c>
      <c r="N200" s="19" t="str">
        <f t="shared" si="31"/>
        <v>Nuşirəvan Cabbarov 25055</v>
      </c>
    </row>
    <row r="201" spans="1:14" ht="14.25" customHeight="1" x14ac:dyDescent="0.25">
      <c r="A201" s="12" t="s">
        <v>244</v>
      </c>
      <c r="B201" s="12" t="s">
        <v>44</v>
      </c>
      <c r="C201" s="14">
        <v>36137</v>
      </c>
      <c r="D201" s="17">
        <f t="shared" si="25"/>
        <v>1998</v>
      </c>
      <c r="E201" s="16">
        <f t="shared" si="24"/>
        <v>27</v>
      </c>
      <c r="F201" s="12" t="str">
        <f t="shared" si="26"/>
        <v>20=&lt;30</v>
      </c>
      <c r="G201" s="12" t="s">
        <v>63</v>
      </c>
      <c r="H201" s="13">
        <v>835.84</v>
      </c>
      <c r="I201" s="12" t="str">
        <f t="shared" si="27"/>
        <v>&lt;1000 AZN</v>
      </c>
      <c r="J201" s="13">
        <v>4166.08</v>
      </c>
      <c r="K201" s="12" t="str">
        <f t="shared" si="28"/>
        <v>4000=&lt;5000 AZN</v>
      </c>
      <c r="L201" s="13">
        <f t="shared" si="29"/>
        <v>-3330.24</v>
      </c>
      <c r="M201" s="52" t="str">
        <f t="shared" si="30"/>
        <v>menfi</v>
      </c>
      <c r="N201" s="19" t="str">
        <f t="shared" si="31"/>
        <v>Bənövşə Təhmin 36137</v>
      </c>
    </row>
    <row r="202" spans="1:14" ht="14.25" customHeight="1" x14ac:dyDescent="0.25">
      <c r="A202" s="12" t="s">
        <v>245</v>
      </c>
      <c r="B202" s="12" t="s">
        <v>30</v>
      </c>
      <c r="C202" s="14">
        <v>33952</v>
      </c>
      <c r="D202" s="17">
        <f t="shared" si="25"/>
        <v>1992</v>
      </c>
      <c r="E202" s="16">
        <f t="shared" si="24"/>
        <v>33</v>
      </c>
      <c r="F202" s="12" t="str">
        <f t="shared" si="26"/>
        <v>30=&lt;40</v>
      </c>
      <c r="G202" s="12" t="s">
        <v>63</v>
      </c>
      <c r="H202" s="13">
        <v>807.8</v>
      </c>
      <c r="I202" s="12" t="str">
        <f t="shared" si="27"/>
        <v>&lt;1000 AZN</v>
      </c>
      <c r="J202" s="13">
        <v>2767.72</v>
      </c>
      <c r="K202" s="12" t="str">
        <f t="shared" si="28"/>
        <v>2000=&lt;3000 AZN</v>
      </c>
      <c r="L202" s="13">
        <f t="shared" si="29"/>
        <v>-1959.9199999999998</v>
      </c>
      <c r="M202" s="52" t="str">
        <f t="shared" si="30"/>
        <v>menfi</v>
      </c>
      <c r="N202" s="19" t="str">
        <f t="shared" si="31"/>
        <v>Dünya Bəktaşi 33952</v>
      </c>
    </row>
    <row r="203" spans="1:14" ht="14.25" customHeight="1" x14ac:dyDescent="0.25">
      <c r="A203" s="12" t="s">
        <v>246</v>
      </c>
      <c r="B203" s="12" t="s">
        <v>44</v>
      </c>
      <c r="C203" s="14">
        <v>37132</v>
      </c>
      <c r="D203" s="17">
        <f t="shared" si="25"/>
        <v>2001</v>
      </c>
      <c r="E203" s="16">
        <f t="shared" si="24"/>
        <v>24</v>
      </c>
      <c r="F203" s="12" t="str">
        <f t="shared" si="26"/>
        <v>20=&lt;30</v>
      </c>
      <c r="G203" s="12" t="s">
        <v>60</v>
      </c>
      <c r="H203" s="13">
        <v>4638.95</v>
      </c>
      <c r="I203" s="12" t="str">
        <f t="shared" si="27"/>
        <v>4000=&lt;5000 AZN</v>
      </c>
      <c r="J203" s="13">
        <v>3745.98</v>
      </c>
      <c r="K203" s="12" t="str">
        <f t="shared" si="28"/>
        <v>3000=&lt;4000 AZN</v>
      </c>
      <c r="L203" s="13">
        <f t="shared" si="29"/>
        <v>892.9699999999998</v>
      </c>
      <c r="M203" s="52" t="str">
        <f t="shared" si="30"/>
        <v>musbet</v>
      </c>
      <c r="N203" s="19" t="str">
        <f t="shared" si="31"/>
        <v>İnqilab Təhmin 37132</v>
      </c>
    </row>
    <row r="204" spans="1:14" ht="14.25" customHeight="1" x14ac:dyDescent="0.25">
      <c r="A204" s="12" t="s">
        <v>247</v>
      </c>
      <c r="B204" s="12" t="s">
        <v>44</v>
      </c>
      <c r="C204" s="14">
        <v>29720</v>
      </c>
      <c r="D204" s="17">
        <f t="shared" si="25"/>
        <v>1981</v>
      </c>
      <c r="E204" s="16">
        <f t="shared" si="24"/>
        <v>44</v>
      </c>
      <c r="F204" s="12" t="str">
        <f t="shared" si="26"/>
        <v>40=&lt;60</v>
      </c>
      <c r="G204" s="12" t="s">
        <v>58</v>
      </c>
      <c r="H204" s="13">
        <v>321.57</v>
      </c>
      <c r="I204" s="12" t="str">
        <f t="shared" si="27"/>
        <v>&lt;1000 AZN</v>
      </c>
      <c r="J204" s="13">
        <v>3411.81</v>
      </c>
      <c r="K204" s="12" t="str">
        <f t="shared" si="28"/>
        <v>3000=&lt;4000 AZN</v>
      </c>
      <c r="L204" s="13">
        <f t="shared" si="29"/>
        <v>-3090.24</v>
      </c>
      <c r="M204" s="52" t="str">
        <f t="shared" si="30"/>
        <v>menfi</v>
      </c>
      <c r="N204" s="19" t="str">
        <f t="shared" si="31"/>
        <v>Əcəbnaz Təhmin 29720</v>
      </c>
    </row>
    <row r="205" spans="1:14" ht="14.25" customHeight="1" x14ac:dyDescent="0.25">
      <c r="A205" s="12" t="s">
        <v>248</v>
      </c>
      <c r="B205" s="12" t="s">
        <v>30</v>
      </c>
      <c r="C205" s="14">
        <v>30830</v>
      </c>
      <c r="D205" s="17">
        <f t="shared" si="25"/>
        <v>1984</v>
      </c>
      <c r="E205" s="16">
        <f t="shared" si="24"/>
        <v>41</v>
      </c>
      <c r="F205" s="12" t="str">
        <f t="shared" si="26"/>
        <v>40=&lt;60</v>
      </c>
      <c r="G205" s="12" t="s">
        <v>45</v>
      </c>
      <c r="H205" s="13">
        <v>3232.55</v>
      </c>
      <c r="I205" s="12" t="str">
        <f t="shared" si="27"/>
        <v>3000=&lt;4000 AZN</v>
      </c>
      <c r="J205" s="13">
        <v>2229.13</v>
      </c>
      <c r="K205" s="12" t="str">
        <f t="shared" si="28"/>
        <v>2000=&lt;3000 AZN</v>
      </c>
      <c r="L205" s="13">
        <f t="shared" si="29"/>
        <v>1003.4200000000001</v>
      </c>
      <c r="M205" s="52" t="str">
        <f t="shared" si="30"/>
        <v>musbet</v>
      </c>
      <c r="N205" s="19" t="str">
        <f t="shared" si="31"/>
        <v>Afət Bəktaşi 30830</v>
      </c>
    </row>
    <row r="206" spans="1:14" ht="14.25" customHeight="1" x14ac:dyDescent="0.25">
      <c r="A206" s="12" t="s">
        <v>249</v>
      </c>
      <c r="B206" s="12" t="s">
        <v>30</v>
      </c>
      <c r="C206" s="14">
        <v>27013</v>
      </c>
      <c r="D206" s="17">
        <f t="shared" si="25"/>
        <v>1973</v>
      </c>
      <c r="E206" s="16">
        <f t="shared" si="24"/>
        <v>52</v>
      </c>
      <c r="F206" s="12" t="str">
        <f t="shared" si="26"/>
        <v>40=&lt;60</v>
      </c>
      <c r="G206" s="12" t="s">
        <v>53</v>
      </c>
      <c r="H206" s="13">
        <v>2425.37</v>
      </c>
      <c r="I206" s="12" t="str">
        <f t="shared" si="27"/>
        <v>2000=&lt;3000 AZN</v>
      </c>
      <c r="J206" s="13">
        <v>3762.96</v>
      </c>
      <c r="K206" s="12" t="str">
        <f t="shared" si="28"/>
        <v>3000=&lt;4000 AZN</v>
      </c>
      <c r="L206" s="13">
        <f t="shared" si="29"/>
        <v>-1337.5900000000001</v>
      </c>
      <c r="M206" s="52" t="str">
        <f t="shared" si="30"/>
        <v>menfi</v>
      </c>
      <c r="N206" s="19" t="str">
        <f t="shared" si="31"/>
        <v>Cəlil Bəktaşi 27013</v>
      </c>
    </row>
    <row r="207" spans="1:14" ht="14.25" customHeight="1" x14ac:dyDescent="0.25">
      <c r="A207" s="12" t="s">
        <v>250</v>
      </c>
      <c r="B207" s="12" t="s">
        <v>28</v>
      </c>
      <c r="C207" s="14">
        <v>23926</v>
      </c>
      <c r="D207" s="17">
        <f t="shared" si="25"/>
        <v>1965</v>
      </c>
      <c r="E207" s="16">
        <f t="shared" si="24"/>
        <v>60</v>
      </c>
      <c r="F207" s="12" t="str">
        <f t="shared" si="26"/>
        <v>60=&lt;</v>
      </c>
      <c r="G207" s="12" t="s">
        <v>60</v>
      </c>
      <c r="H207" s="13">
        <v>772.96</v>
      </c>
      <c r="I207" s="12" t="str">
        <f t="shared" si="27"/>
        <v>&lt;1000 AZN</v>
      </c>
      <c r="J207" s="13">
        <v>4396.08</v>
      </c>
      <c r="K207" s="12" t="str">
        <f t="shared" si="28"/>
        <v>4000=&lt;5000 AZN</v>
      </c>
      <c r="L207" s="13">
        <f t="shared" si="29"/>
        <v>-3623.12</v>
      </c>
      <c r="M207" s="52" t="str">
        <f t="shared" si="30"/>
        <v>menfi</v>
      </c>
      <c r="N207" s="19" t="str">
        <f t="shared" si="31"/>
        <v>Elnur Mirzəyev 23926</v>
      </c>
    </row>
    <row r="208" spans="1:14" ht="14.25" customHeight="1" x14ac:dyDescent="0.25">
      <c r="A208" s="12" t="s">
        <v>251</v>
      </c>
      <c r="B208" s="12" t="s">
        <v>27</v>
      </c>
      <c r="C208" s="14">
        <v>24843</v>
      </c>
      <c r="D208" s="17">
        <f t="shared" si="25"/>
        <v>1968</v>
      </c>
      <c r="E208" s="16">
        <f t="shared" si="24"/>
        <v>57</v>
      </c>
      <c r="F208" s="12" t="str">
        <f t="shared" si="26"/>
        <v>40=&lt;60</v>
      </c>
      <c r="G208" s="12" t="s">
        <v>40</v>
      </c>
      <c r="H208" s="13">
        <v>601.91</v>
      </c>
      <c r="I208" s="12" t="str">
        <f t="shared" si="27"/>
        <v>&lt;1000 AZN</v>
      </c>
      <c r="J208" s="13">
        <v>892.95</v>
      </c>
      <c r="K208" s="12" t="str">
        <f t="shared" si="28"/>
        <v>&lt;1000 AZN</v>
      </c>
      <c r="L208" s="13">
        <f t="shared" si="29"/>
        <v>-291.04000000000008</v>
      </c>
      <c r="M208" s="52" t="str">
        <f t="shared" si="30"/>
        <v>menfi</v>
      </c>
      <c r="N208" s="19" t="str">
        <f t="shared" si="31"/>
        <v>Fərahim Vurğun 24843</v>
      </c>
    </row>
    <row r="209" spans="1:14" ht="14.25" customHeight="1" x14ac:dyDescent="0.25">
      <c r="A209" s="12" t="s">
        <v>252</v>
      </c>
      <c r="B209" s="12" t="s">
        <v>44</v>
      </c>
      <c r="C209" s="14">
        <v>34926</v>
      </c>
      <c r="D209" s="17">
        <f t="shared" si="25"/>
        <v>1995</v>
      </c>
      <c r="E209" s="16">
        <f t="shared" si="24"/>
        <v>30</v>
      </c>
      <c r="F209" s="12" t="str">
        <f t="shared" si="26"/>
        <v>30=&lt;40</v>
      </c>
      <c r="G209" s="12" t="s">
        <v>40</v>
      </c>
      <c r="H209" s="13">
        <v>2018.59</v>
      </c>
      <c r="I209" s="12" t="str">
        <f t="shared" si="27"/>
        <v>2000=&lt;3000 AZN</v>
      </c>
      <c r="J209" s="13">
        <v>925.57</v>
      </c>
      <c r="K209" s="12" t="str">
        <f t="shared" si="28"/>
        <v>&lt;1000 AZN</v>
      </c>
      <c r="L209" s="13">
        <f t="shared" si="29"/>
        <v>1093.02</v>
      </c>
      <c r="M209" s="52" t="str">
        <f t="shared" si="30"/>
        <v>musbet</v>
      </c>
      <c r="N209" s="19" t="str">
        <f t="shared" si="31"/>
        <v>Məhəmməd Təhmin 34926</v>
      </c>
    </row>
    <row r="210" spans="1:14" ht="14.25" customHeight="1" x14ac:dyDescent="0.25">
      <c r="A210" s="12" t="s">
        <v>253</v>
      </c>
      <c r="B210" s="12" t="s">
        <v>27</v>
      </c>
      <c r="C210" s="14">
        <v>26357</v>
      </c>
      <c r="D210" s="17">
        <f t="shared" si="25"/>
        <v>1972</v>
      </c>
      <c r="E210" s="16">
        <f t="shared" si="24"/>
        <v>53</v>
      </c>
      <c r="F210" s="12" t="str">
        <f t="shared" si="26"/>
        <v>40=&lt;60</v>
      </c>
      <c r="G210" s="12" t="s">
        <v>51</v>
      </c>
      <c r="H210" s="13">
        <v>2708.57</v>
      </c>
      <c r="I210" s="12" t="str">
        <f t="shared" si="27"/>
        <v>2000=&lt;3000 AZN</v>
      </c>
      <c r="J210" s="13">
        <v>1129.43</v>
      </c>
      <c r="K210" s="12" t="str">
        <f t="shared" si="28"/>
        <v>1000=&lt;2000 AZN</v>
      </c>
      <c r="L210" s="13">
        <f t="shared" si="29"/>
        <v>1579.14</v>
      </c>
      <c r="M210" s="52" t="str">
        <f t="shared" si="30"/>
        <v>musbet</v>
      </c>
      <c r="N210" s="19" t="str">
        <f t="shared" si="31"/>
        <v>Gülüş Vurğun 26357</v>
      </c>
    </row>
    <row r="211" spans="1:14" ht="14.25" customHeight="1" x14ac:dyDescent="0.25">
      <c r="A211" s="12" t="s">
        <v>254</v>
      </c>
      <c r="B211" s="12" t="s">
        <v>28</v>
      </c>
      <c r="C211" s="14">
        <v>36632</v>
      </c>
      <c r="D211" s="17">
        <f t="shared" si="25"/>
        <v>2000</v>
      </c>
      <c r="E211" s="16">
        <f t="shared" si="24"/>
        <v>25</v>
      </c>
      <c r="F211" s="12" t="str">
        <f t="shared" si="26"/>
        <v>20=&lt;30</v>
      </c>
      <c r="G211" s="12" t="s">
        <v>66</v>
      </c>
      <c r="H211" s="13">
        <v>2142.9499999999998</v>
      </c>
      <c r="I211" s="12" t="str">
        <f t="shared" si="27"/>
        <v>2000=&lt;3000 AZN</v>
      </c>
      <c r="J211" s="13">
        <v>1128.58</v>
      </c>
      <c r="K211" s="12" t="str">
        <f t="shared" si="28"/>
        <v>1000=&lt;2000 AZN</v>
      </c>
      <c r="L211" s="13">
        <f t="shared" si="29"/>
        <v>1014.3699999999999</v>
      </c>
      <c r="M211" s="52" t="str">
        <f t="shared" si="30"/>
        <v>musbet</v>
      </c>
      <c r="N211" s="19" t="str">
        <f t="shared" si="31"/>
        <v>İlahə Mirzəyev 36632</v>
      </c>
    </row>
    <row r="212" spans="1:14" ht="14.25" customHeight="1" x14ac:dyDescent="0.25">
      <c r="A212" s="12" t="s">
        <v>255</v>
      </c>
      <c r="B212" s="12" t="s">
        <v>44</v>
      </c>
      <c r="C212" s="14">
        <v>22258</v>
      </c>
      <c r="D212" s="17">
        <f t="shared" si="25"/>
        <v>1960</v>
      </c>
      <c r="E212" s="16">
        <f t="shared" si="24"/>
        <v>65</v>
      </c>
      <c r="F212" s="12" t="str">
        <f t="shared" si="26"/>
        <v>60=&lt;</v>
      </c>
      <c r="G212" s="12" t="s">
        <v>51</v>
      </c>
      <c r="H212" s="13">
        <v>571.41999999999996</v>
      </c>
      <c r="I212" s="12" t="str">
        <f t="shared" si="27"/>
        <v>&lt;1000 AZN</v>
      </c>
      <c r="J212" s="13">
        <v>973.79</v>
      </c>
      <c r="K212" s="12" t="str">
        <f t="shared" si="28"/>
        <v>&lt;1000 AZN</v>
      </c>
      <c r="L212" s="13">
        <f t="shared" si="29"/>
        <v>-402.37</v>
      </c>
      <c r="M212" s="52" t="str">
        <f t="shared" si="30"/>
        <v>menfi</v>
      </c>
      <c r="N212" s="19" t="str">
        <f t="shared" si="31"/>
        <v>Vəli Təhmin 22258</v>
      </c>
    </row>
    <row r="213" spans="1:14" ht="14.25" customHeight="1" x14ac:dyDescent="0.25">
      <c r="A213" s="12" t="s">
        <v>256</v>
      </c>
      <c r="B213" s="12" t="s">
        <v>48</v>
      </c>
      <c r="C213" s="14">
        <v>29723</v>
      </c>
      <c r="D213" s="17">
        <f t="shared" si="25"/>
        <v>1981</v>
      </c>
      <c r="E213" s="16">
        <f t="shared" si="24"/>
        <v>44</v>
      </c>
      <c r="F213" s="12" t="str">
        <f t="shared" si="26"/>
        <v>40=&lt;60</v>
      </c>
      <c r="G213" s="12" t="s">
        <v>53</v>
      </c>
      <c r="H213" s="13">
        <v>2620.5500000000002</v>
      </c>
      <c r="I213" s="12" t="str">
        <f t="shared" si="27"/>
        <v>2000=&lt;3000 AZN</v>
      </c>
      <c r="J213" s="13">
        <v>3232.72</v>
      </c>
      <c r="K213" s="12" t="str">
        <f t="shared" si="28"/>
        <v>3000=&lt;4000 AZN</v>
      </c>
      <c r="L213" s="13">
        <f t="shared" si="29"/>
        <v>-612.16999999999962</v>
      </c>
      <c r="M213" s="52" t="str">
        <f t="shared" si="30"/>
        <v>menfi</v>
      </c>
      <c r="N213" s="19" t="str">
        <f t="shared" si="31"/>
        <v>Münəvvər Abbasbəyli 29723</v>
      </c>
    </row>
    <row r="214" spans="1:14" ht="14.25" customHeight="1" x14ac:dyDescent="0.25">
      <c r="A214" s="12" t="s">
        <v>257</v>
      </c>
      <c r="B214" s="12" t="s">
        <v>48</v>
      </c>
      <c r="C214" s="14">
        <v>28776</v>
      </c>
      <c r="D214" s="17">
        <f t="shared" si="25"/>
        <v>1978</v>
      </c>
      <c r="E214" s="16">
        <f t="shared" si="24"/>
        <v>47</v>
      </c>
      <c r="F214" s="12" t="str">
        <f t="shared" si="26"/>
        <v>40=&lt;60</v>
      </c>
      <c r="G214" s="12" t="s">
        <v>63</v>
      </c>
      <c r="H214" s="13">
        <v>1660.93</v>
      </c>
      <c r="I214" s="12" t="str">
        <f t="shared" si="27"/>
        <v>1000=&lt;2000 AZN</v>
      </c>
      <c r="J214" s="13">
        <v>559.35</v>
      </c>
      <c r="K214" s="12" t="str">
        <f t="shared" si="28"/>
        <v>&lt;1000 AZN</v>
      </c>
      <c r="L214" s="13">
        <f t="shared" si="29"/>
        <v>1101.58</v>
      </c>
      <c r="M214" s="52" t="str">
        <f t="shared" si="30"/>
        <v>musbet</v>
      </c>
      <c r="N214" s="19" t="str">
        <f t="shared" si="31"/>
        <v>Səfurə Abbasbəyli 28776</v>
      </c>
    </row>
    <row r="215" spans="1:14" ht="14.25" customHeight="1" x14ac:dyDescent="0.25">
      <c r="A215" s="12" t="s">
        <v>258</v>
      </c>
      <c r="B215" s="12" t="s">
        <v>39</v>
      </c>
      <c r="C215" s="14">
        <v>37529</v>
      </c>
      <c r="D215" s="17">
        <f t="shared" si="25"/>
        <v>2002</v>
      </c>
      <c r="E215" s="16">
        <f t="shared" si="24"/>
        <v>23</v>
      </c>
      <c r="F215" s="12" t="str">
        <f t="shared" si="26"/>
        <v>20=&lt;30</v>
      </c>
      <c r="G215" s="12" t="s">
        <v>60</v>
      </c>
      <c r="H215" s="13">
        <v>1160.8499999999999</v>
      </c>
      <c r="I215" s="12" t="str">
        <f t="shared" si="27"/>
        <v>1000=&lt;2000 AZN</v>
      </c>
      <c r="J215" s="13">
        <v>1114.23</v>
      </c>
      <c r="K215" s="12" t="str">
        <f t="shared" si="28"/>
        <v>1000=&lt;2000 AZN</v>
      </c>
      <c r="L215" s="13">
        <f t="shared" si="29"/>
        <v>46.619999999999891</v>
      </c>
      <c r="M215" s="52" t="str">
        <f t="shared" si="30"/>
        <v>musbet</v>
      </c>
      <c r="N215" s="19" t="str">
        <f t="shared" si="31"/>
        <v>Gülsüm Düzgün 37529</v>
      </c>
    </row>
    <row r="216" spans="1:14" ht="14.25" customHeight="1" x14ac:dyDescent="0.25">
      <c r="A216" s="12" t="s">
        <v>259</v>
      </c>
      <c r="B216" s="12" t="s">
        <v>39</v>
      </c>
      <c r="C216" s="14">
        <v>25127</v>
      </c>
      <c r="D216" s="17">
        <f t="shared" si="25"/>
        <v>1968</v>
      </c>
      <c r="E216" s="16">
        <f t="shared" si="24"/>
        <v>57</v>
      </c>
      <c r="F216" s="12" t="str">
        <f t="shared" si="26"/>
        <v>40=&lt;60</v>
      </c>
      <c r="G216" s="12" t="s">
        <v>45</v>
      </c>
      <c r="H216" s="13">
        <v>2044.39</v>
      </c>
      <c r="I216" s="12" t="str">
        <f t="shared" si="27"/>
        <v>2000=&lt;3000 AZN</v>
      </c>
      <c r="J216" s="13">
        <v>1207.26</v>
      </c>
      <c r="K216" s="12" t="str">
        <f t="shared" si="28"/>
        <v>1000=&lt;2000 AZN</v>
      </c>
      <c r="L216" s="13">
        <f t="shared" si="29"/>
        <v>837.13000000000011</v>
      </c>
      <c r="M216" s="52" t="str">
        <f t="shared" si="30"/>
        <v>musbet</v>
      </c>
      <c r="N216" s="19" t="str">
        <f t="shared" si="31"/>
        <v>Xalid Düzgün 25127</v>
      </c>
    </row>
    <row r="217" spans="1:14" ht="14.25" customHeight="1" x14ac:dyDescent="0.25">
      <c r="A217" s="12" t="s">
        <v>260</v>
      </c>
      <c r="B217" s="12" t="s">
        <v>26</v>
      </c>
      <c r="C217" s="14">
        <v>23070</v>
      </c>
      <c r="D217" s="17">
        <f t="shared" si="25"/>
        <v>1963</v>
      </c>
      <c r="E217" s="16">
        <f t="shared" si="24"/>
        <v>62</v>
      </c>
      <c r="F217" s="12" t="str">
        <f t="shared" si="26"/>
        <v>60=&lt;</v>
      </c>
      <c r="G217" s="12" t="s">
        <v>63</v>
      </c>
      <c r="H217" s="13">
        <v>2469.35</v>
      </c>
      <c r="I217" s="12" t="str">
        <f t="shared" si="27"/>
        <v>2000=&lt;3000 AZN</v>
      </c>
      <c r="J217" s="13">
        <v>1863.51</v>
      </c>
      <c r="K217" s="12" t="str">
        <f t="shared" si="28"/>
        <v>1000=&lt;2000 AZN</v>
      </c>
      <c r="L217" s="13">
        <f t="shared" si="29"/>
        <v>605.83999999999992</v>
      </c>
      <c r="M217" s="52" t="str">
        <f t="shared" si="30"/>
        <v>musbet</v>
      </c>
      <c r="N217" s="19" t="str">
        <f t="shared" si="31"/>
        <v>Gülay Həsənli 23070</v>
      </c>
    </row>
    <row r="218" spans="1:14" ht="14.25" customHeight="1" x14ac:dyDescent="0.25">
      <c r="A218" s="12" t="s">
        <v>261</v>
      </c>
      <c r="B218" s="12" t="s">
        <v>27</v>
      </c>
      <c r="C218" s="14">
        <v>34978</v>
      </c>
      <c r="D218" s="17">
        <f t="shared" si="25"/>
        <v>1995</v>
      </c>
      <c r="E218" s="16">
        <f t="shared" si="24"/>
        <v>30</v>
      </c>
      <c r="F218" s="12" t="str">
        <f t="shared" si="26"/>
        <v>30=&lt;40</v>
      </c>
      <c r="G218" s="12" t="s">
        <v>45</v>
      </c>
      <c r="H218" s="13">
        <v>4043.73</v>
      </c>
      <c r="I218" s="12" t="str">
        <f t="shared" si="27"/>
        <v>4000=&lt;5000 AZN</v>
      </c>
      <c r="J218" s="13">
        <v>814.54</v>
      </c>
      <c r="K218" s="12" t="str">
        <f t="shared" si="28"/>
        <v>&lt;1000 AZN</v>
      </c>
      <c r="L218" s="13">
        <f t="shared" si="29"/>
        <v>3229.19</v>
      </c>
      <c r="M218" s="52" t="str">
        <f t="shared" si="30"/>
        <v>musbet</v>
      </c>
      <c r="N218" s="19" t="str">
        <f t="shared" si="31"/>
        <v>Nurşərəf  Vurğun 34978</v>
      </c>
    </row>
    <row r="219" spans="1:14" ht="14.25" customHeight="1" x14ac:dyDescent="0.25">
      <c r="A219" s="12" t="s">
        <v>262</v>
      </c>
      <c r="B219" s="12" t="s">
        <v>29</v>
      </c>
      <c r="C219" s="14">
        <v>33892</v>
      </c>
      <c r="D219" s="17">
        <f t="shared" si="25"/>
        <v>1992</v>
      </c>
      <c r="E219" s="16">
        <f t="shared" si="24"/>
        <v>33</v>
      </c>
      <c r="F219" s="12" t="str">
        <f t="shared" si="26"/>
        <v>30=&lt;40</v>
      </c>
      <c r="G219" s="12" t="s">
        <v>42</v>
      </c>
      <c r="H219" s="13">
        <v>4611.2700000000004</v>
      </c>
      <c r="I219" s="12" t="str">
        <f t="shared" si="27"/>
        <v>4000=&lt;5000 AZN</v>
      </c>
      <c r="J219" s="13">
        <v>2014.78</v>
      </c>
      <c r="K219" s="12" t="str">
        <f t="shared" si="28"/>
        <v>2000=&lt;3000 AZN</v>
      </c>
      <c r="L219" s="13">
        <f t="shared" si="29"/>
        <v>2596.4900000000007</v>
      </c>
      <c r="M219" s="52" t="str">
        <f t="shared" si="30"/>
        <v>musbet</v>
      </c>
      <c r="N219" s="19" t="str">
        <f t="shared" si="31"/>
        <v>Novruz Bayramov 33892</v>
      </c>
    </row>
    <row r="220" spans="1:14" ht="14.25" customHeight="1" x14ac:dyDescent="0.25">
      <c r="A220" s="12" t="s">
        <v>263</v>
      </c>
      <c r="B220" s="12" t="s">
        <v>44</v>
      </c>
      <c r="C220" s="14">
        <v>29992</v>
      </c>
      <c r="D220" s="17">
        <f t="shared" si="25"/>
        <v>1982</v>
      </c>
      <c r="E220" s="16">
        <f t="shared" si="24"/>
        <v>43</v>
      </c>
      <c r="F220" s="12" t="str">
        <f t="shared" si="26"/>
        <v>40=&lt;60</v>
      </c>
      <c r="G220" s="12" t="s">
        <v>63</v>
      </c>
      <c r="H220" s="13">
        <v>3968.4</v>
      </c>
      <c r="I220" s="12" t="str">
        <f t="shared" si="27"/>
        <v>3000=&lt;4000 AZN</v>
      </c>
      <c r="J220" s="13">
        <v>3894.98</v>
      </c>
      <c r="K220" s="12" t="str">
        <f t="shared" si="28"/>
        <v>3000=&lt;4000 AZN</v>
      </c>
      <c r="L220" s="13">
        <f t="shared" si="29"/>
        <v>73.420000000000073</v>
      </c>
      <c r="M220" s="52" t="str">
        <f t="shared" si="30"/>
        <v>musbet</v>
      </c>
      <c r="N220" s="19" t="str">
        <f t="shared" si="31"/>
        <v>Şərafət Təhmin 29992</v>
      </c>
    </row>
    <row r="221" spans="1:14" ht="14.25" customHeight="1" x14ac:dyDescent="0.25">
      <c r="A221" s="12" t="s">
        <v>264</v>
      </c>
      <c r="B221" s="12" t="s">
        <v>39</v>
      </c>
      <c r="C221" s="14">
        <v>35759</v>
      </c>
      <c r="D221" s="17">
        <f t="shared" si="25"/>
        <v>1997</v>
      </c>
      <c r="E221" s="16">
        <f t="shared" si="24"/>
        <v>28</v>
      </c>
      <c r="F221" s="12" t="str">
        <f t="shared" si="26"/>
        <v>20=&lt;30</v>
      </c>
      <c r="G221" s="12" t="s">
        <v>60</v>
      </c>
      <c r="H221" s="13">
        <v>1440.21</v>
      </c>
      <c r="I221" s="12" t="str">
        <f t="shared" si="27"/>
        <v>1000=&lt;2000 AZN</v>
      </c>
      <c r="J221" s="13">
        <v>2860.9</v>
      </c>
      <c r="K221" s="12" t="str">
        <f t="shared" si="28"/>
        <v>2000=&lt;3000 AZN</v>
      </c>
      <c r="L221" s="13">
        <f t="shared" si="29"/>
        <v>-1420.69</v>
      </c>
      <c r="M221" s="52" t="str">
        <f t="shared" si="30"/>
        <v>menfi</v>
      </c>
      <c r="N221" s="19" t="str">
        <f t="shared" si="31"/>
        <v>Nadir Düzgün 35759</v>
      </c>
    </row>
    <row r="222" spans="1:14" ht="14.25" customHeight="1" x14ac:dyDescent="0.25">
      <c r="A222" s="12" t="s">
        <v>265</v>
      </c>
      <c r="B222" s="12" t="s">
        <v>29</v>
      </c>
      <c r="C222" s="14">
        <v>26489</v>
      </c>
      <c r="D222" s="17">
        <f t="shared" si="25"/>
        <v>1972</v>
      </c>
      <c r="E222" s="16">
        <f t="shared" si="24"/>
        <v>53</v>
      </c>
      <c r="F222" s="12" t="str">
        <f t="shared" si="26"/>
        <v>40=&lt;60</v>
      </c>
      <c r="G222" s="12" t="s">
        <v>58</v>
      </c>
      <c r="H222" s="13">
        <v>3236.41</v>
      </c>
      <c r="I222" s="12" t="str">
        <f t="shared" si="27"/>
        <v>3000=&lt;4000 AZN</v>
      </c>
      <c r="J222" s="13">
        <v>2918.69</v>
      </c>
      <c r="K222" s="12" t="str">
        <f t="shared" si="28"/>
        <v>2000=&lt;3000 AZN</v>
      </c>
      <c r="L222" s="13">
        <f t="shared" si="29"/>
        <v>317.7199999999998</v>
      </c>
      <c r="M222" s="52" t="str">
        <f t="shared" si="30"/>
        <v>musbet</v>
      </c>
      <c r="N222" s="19" t="str">
        <f t="shared" si="31"/>
        <v>Famil  Bayramov 26489</v>
      </c>
    </row>
    <row r="223" spans="1:14" ht="14.25" customHeight="1" x14ac:dyDescent="0.25">
      <c r="A223" s="12" t="s">
        <v>266</v>
      </c>
      <c r="B223" s="12" t="s">
        <v>56</v>
      </c>
      <c r="C223" s="14">
        <v>35498</v>
      </c>
      <c r="D223" s="17">
        <f t="shared" si="25"/>
        <v>1997</v>
      </c>
      <c r="E223" s="16">
        <f t="shared" si="24"/>
        <v>28</v>
      </c>
      <c r="F223" s="12" t="str">
        <f t="shared" si="26"/>
        <v>20=&lt;30</v>
      </c>
      <c r="G223" s="12" t="s">
        <v>60</v>
      </c>
      <c r="H223" s="13">
        <v>2634.47</v>
      </c>
      <c r="I223" s="12" t="str">
        <f t="shared" si="27"/>
        <v>2000=&lt;3000 AZN</v>
      </c>
      <c r="J223" s="13">
        <v>3676.61</v>
      </c>
      <c r="K223" s="12" t="str">
        <f t="shared" si="28"/>
        <v>3000=&lt;4000 AZN</v>
      </c>
      <c r="L223" s="13">
        <f t="shared" si="29"/>
        <v>-1042.1400000000003</v>
      </c>
      <c r="M223" s="52" t="str">
        <f t="shared" si="30"/>
        <v>menfi</v>
      </c>
      <c r="N223" s="19" t="str">
        <f t="shared" si="31"/>
        <v>İsrafil Talıbzadə 35498</v>
      </c>
    </row>
    <row r="224" spans="1:14" ht="14.25" customHeight="1" x14ac:dyDescent="0.25">
      <c r="A224" s="12" t="s">
        <v>267</v>
      </c>
      <c r="B224" s="12" t="s">
        <v>27</v>
      </c>
      <c r="C224" s="14">
        <v>25889</v>
      </c>
      <c r="D224" s="17">
        <f t="shared" si="25"/>
        <v>1970</v>
      </c>
      <c r="E224" s="16">
        <f t="shared" si="24"/>
        <v>55</v>
      </c>
      <c r="F224" s="12" t="str">
        <f t="shared" si="26"/>
        <v>40=&lt;60</v>
      </c>
      <c r="G224" s="12" t="s">
        <v>51</v>
      </c>
      <c r="H224" s="13">
        <v>3140.31</v>
      </c>
      <c r="I224" s="12" t="str">
        <f t="shared" si="27"/>
        <v>3000=&lt;4000 AZN</v>
      </c>
      <c r="J224" s="13">
        <v>343.04</v>
      </c>
      <c r="K224" s="12" t="str">
        <f t="shared" si="28"/>
        <v>&lt;1000 AZN</v>
      </c>
      <c r="L224" s="13">
        <f t="shared" si="29"/>
        <v>2797.27</v>
      </c>
      <c r="M224" s="52" t="str">
        <f t="shared" si="30"/>
        <v>musbet</v>
      </c>
      <c r="N224" s="19" t="str">
        <f t="shared" si="31"/>
        <v>Sitarə Vurğun 25889</v>
      </c>
    </row>
    <row r="225" spans="1:14" ht="14.25" customHeight="1" x14ac:dyDescent="0.25">
      <c r="A225" s="12" t="s">
        <v>268</v>
      </c>
      <c r="B225" s="12" t="s">
        <v>26</v>
      </c>
      <c r="C225" s="14">
        <v>24569</v>
      </c>
      <c r="D225" s="17">
        <f t="shared" si="25"/>
        <v>1967</v>
      </c>
      <c r="E225" s="16">
        <f t="shared" si="24"/>
        <v>58</v>
      </c>
      <c r="F225" s="12" t="str">
        <f t="shared" si="26"/>
        <v>40=&lt;60</v>
      </c>
      <c r="G225" s="12" t="s">
        <v>58</v>
      </c>
      <c r="H225" s="13">
        <v>1659.88</v>
      </c>
      <c r="I225" s="12" t="str">
        <f t="shared" si="27"/>
        <v>1000=&lt;2000 AZN</v>
      </c>
      <c r="J225" s="13">
        <v>903.71</v>
      </c>
      <c r="K225" s="12" t="str">
        <f t="shared" si="28"/>
        <v>&lt;1000 AZN</v>
      </c>
      <c r="L225" s="13">
        <f t="shared" si="29"/>
        <v>756.17000000000007</v>
      </c>
      <c r="M225" s="52" t="str">
        <f t="shared" si="30"/>
        <v>musbet</v>
      </c>
      <c r="N225" s="19" t="str">
        <f t="shared" si="31"/>
        <v>Məmməd Həsənli 24569</v>
      </c>
    </row>
    <row r="226" spans="1:14" ht="14.25" customHeight="1" x14ac:dyDescent="0.25">
      <c r="A226" s="12" t="s">
        <v>269</v>
      </c>
      <c r="B226" s="12" t="s">
        <v>27</v>
      </c>
      <c r="C226" s="14">
        <v>27225</v>
      </c>
      <c r="D226" s="17">
        <f t="shared" si="25"/>
        <v>1974</v>
      </c>
      <c r="E226" s="16">
        <f t="shared" si="24"/>
        <v>51</v>
      </c>
      <c r="F226" s="12" t="str">
        <f t="shared" si="26"/>
        <v>40=&lt;60</v>
      </c>
      <c r="G226" s="12" t="s">
        <v>63</v>
      </c>
      <c r="H226" s="13">
        <v>4385.58</v>
      </c>
      <c r="I226" s="12" t="str">
        <f t="shared" si="27"/>
        <v>4000=&lt;5000 AZN</v>
      </c>
      <c r="J226" s="13">
        <v>2433.5700000000002</v>
      </c>
      <c r="K226" s="12" t="str">
        <f t="shared" si="28"/>
        <v>2000=&lt;3000 AZN</v>
      </c>
      <c r="L226" s="13">
        <f t="shared" si="29"/>
        <v>1952.0099999999998</v>
      </c>
      <c r="M226" s="52" t="str">
        <f t="shared" si="30"/>
        <v>musbet</v>
      </c>
      <c r="N226" s="19" t="str">
        <f t="shared" si="31"/>
        <v>Nuranə Vurğun 27225</v>
      </c>
    </row>
    <row r="227" spans="1:14" ht="14.25" customHeight="1" x14ac:dyDescent="0.25">
      <c r="A227" s="12" t="s">
        <v>270</v>
      </c>
      <c r="B227" s="12" t="s">
        <v>65</v>
      </c>
      <c r="C227" s="14">
        <v>26185</v>
      </c>
      <c r="D227" s="17">
        <f t="shared" si="25"/>
        <v>1971</v>
      </c>
      <c r="E227" s="16">
        <f t="shared" si="24"/>
        <v>54</v>
      </c>
      <c r="F227" s="12" t="str">
        <f t="shared" si="26"/>
        <v>40=&lt;60</v>
      </c>
      <c r="G227" s="12" t="s">
        <v>58</v>
      </c>
      <c r="H227" s="13">
        <v>3606.41</v>
      </c>
      <c r="I227" s="12" t="str">
        <f t="shared" si="27"/>
        <v>3000=&lt;4000 AZN</v>
      </c>
      <c r="J227" s="13">
        <v>4894.1400000000003</v>
      </c>
      <c r="K227" s="12" t="str">
        <f t="shared" si="28"/>
        <v>4000=&lt;5000 AZN</v>
      </c>
      <c r="L227" s="13">
        <f t="shared" si="29"/>
        <v>-1287.7300000000005</v>
      </c>
      <c r="M227" s="52" t="str">
        <f t="shared" si="30"/>
        <v>menfi</v>
      </c>
      <c r="N227" s="19" t="str">
        <f t="shared" si="31"/>
        <v>Mehin Cabbarov 26185</v>
      </c>
    </row>
    <row r="228" spans="1:14" ht="14.25" customHeight="1" x14ac:dyDescent="0.25">
      <c r="A228" s="12" t="s">
        <v>271</v>
      </c>
      <c r="B228" s="12" t="s">
        <v>26</v>
      </c>
      <c r="C228" s="14">
        <v>24357</v>
      </c>
      <c r="D228" s="17">
        <f t="shared" si="25"/>
        <v>1966</v>
      </c>
      <c r="E228" s="16">
        <f t="shared" si="24"/>
        <v>59</v>
      </c>
      <c r="F228" s="12" t="str">
        <f t="shared" si="26"/>
        <v>40=&lt;60</v>
      </c>
      <c r="G228" s="12" t="s">
        <v>58</v>
      </c>
      <c r="H228" s="13">
        <v>1221.74</v>
      </c>
      <c r="I228" s="12" t="str">
        <f t="shared" si="27"/>
        <v>1000=&lt;2000 AZN</v>
      </c>
      <c r="J228" s="13">
        <v>2026.53</v>
      </c>
      <c r="K228" s="12" t="str">
        <f t="shared" si="28"/>
        <v>2000=&lt;3000 AZN</v>
      </c>
      <c r="L228" s="13">
        <f t="shared" si="29"/>
        <v>-804.79</v>
      </c>
      <c r="M228" s="52" t="str">
        <f t="shared" si="30"/>
        <v>menfi</v>
      </c>
      <c r="N228" s="19" t="str">
        <f t="shared" si="31"/>
        <v>Kifayət Həsənli 24357</v>
      </c>
    </row>
    <row r="229" spans="1:14" ht="14.25" customHeight="1" x14ac:dyDescent="0.25">
      <c r="A229" s="12" t="s">
        <v>272</v>
      </c>
      <c r="B229" s="12" t="s">
        <v>28</v>
      </c>
      <c r="C229" s="14">
        <v>29966</v>
      </c>
      <c r="D229" s="17">
        <f t="shared" si="25"/>
        <v>1982</v>
      </c>
      <c r="E229" s="16">
        <f t="shared" si="24"/>
        <v>43</v>
      </c>
      <c r="F229" s="12" t="str">
        <f t="shared" si="26"/>
        <v>40=&lt;60</v>
      </c>
      <c r="G229" s="12" t="s">
        <v>60</v>
      </c>
      <c r="H229" s="13">
        <v>1648.63</v>
      </c>
      <c r="I229" s="12" t="str">
        <f t="shared" si="27"/>
        <v>1000=&lt;2000 AZN</v>
      </c>
      <c r="J229" s="13">
        <v>2887.27</v>
      </c>
      <c r="K229" s="12" t="str">
        <f t="shared" si="28"/>
        <v>2000=&lt;3000 AZN</v>
      </c>
      <c r="L229" s="13">
        <f t="shared" si="29"/>
        <v>-1238.6399999999999</v>
      </c>
      <c r="M229" s="52" t="str">
        <f t="shared" si="30"/>
        <v>menfi</v>
      </c>
      <c r="N229" s="19" t="str">
        <f t="shared" si="31"/>
        <v>Samir Mirzəyev 29966</v>
      </c>
    </row>
    <row r="230" spans="1:14" ht="14.25" customHeight="1" x14ac:dyDescent="0.25">
      <c r="A230" s="12" t="s">
        <v>273</v>
      </c>
      <c r="B230" s="12" t="s">
        <v>65</v>
      </c>
      <c r="C230" s="14">
        <v>31660</v>
      </c>
      <c r="D230" s="17">
        <f t="shared" si="25"/>
        <v>1986</v>
      </c>
      <c r="E230" s="16">
        <f t="shared" si="24"/>
        <v>39</v>
      </c>
      <c r="F230" s="12" t="str">
        <f t="shared" si="26"/>
        <v>30=&lt;40</v>
      </c>
      <c r="G230" s="12" t="s">
        <v>60</v>
      </c>
      <c r="H230" s="13">
        <v>566.88</v>
      </c>
      <c r="I230" s="12" t="str">
        <f t="shared" si="27"/>
        <v>&lt;1000 AZN</v>
      </c>
      <c r="J230" s="13">
        <v>2478.94</v>
      </c>
      <c r="K230" s="12" t="str">
        <f t="shared" si="28"/>
        <v>2000=&lt;3000 AZN</v>
      </c>
      <c r="L230" s="13">
        <f t="shared" si="29"/>
        <v>-1912.06</v>
      </c>
      <c r="M230" s="52" t="str">
        <f t="shared" si="30"/>
        <v>menfi</v>
      </c>
      <c r="N230" s="19" t="str">
        <f t="shared" si="31"/>
        <v>Gülər Cabbarov 31660</v>
      </c>
    </row>
    <row r="231" spans="1:14" ht="14.25" customHeight="1" x14ac:dyDescent="0.25">
      <c r="A231" s="12" t="s">
        <v>274</v>
      </c>
      <c r="B231" s="12" t="s">
        <v>28</v>
      </c>
      <c r="C231" s="14">
        <v>35398</v>
      </c>
      <c r="D231" s="17">
        <f t="shared" si="25"/>
        <v>1996</v>
      </c>
      <c r="E231" s="16">
        <f t="shared" si="24"/>
        <v>29</v>
      </c>
      <c r="F231" s="12" t="str">
        <f t="shared" si="26"/>
        <v>20=&lt;30</v>
      </c>
      <c r="G231" s="12" t="s">
        <v>53</v>
      </c>
      <c r="H231" s="13">
        <v>4597.3500000000004</v>
      </c>
      <c r="I231" s="12" t="str">
        <f t="shared" si="27"/>
        <v>4000=&lt;5000 AZN</v>
      </c>
      <c r="J231" s="13">
        <v>4708.63</v>
      </c>
      <c r="K231" s="12" t="str">
        <f t="shared" si="28"/>
        <v>4000=&lt;5000 AZN</v>
      </c>
      <c r="L231" s="13">
        <f t="shared" si="29"/>
        <v>-111.27999999999975</v>
      </c>
      <c r="M231" s="52" t="str">
        <f t="shared" si="30"/>
        <v>menfi</v>
      </c>
      <c r="N231" s="19" t="str">
        <f t="shared" si="31"/>
        <v>Füzuli Mirzəyev 35398</v>
      </c>
    </row>
    <row r="232" spans="1:14" ht="14.25" customHeight="1" x14ac:dyDescent="0.25">
      <c r="A232" s="12" t="s">
        <v>275</v>
      </c>
      <c r="B232" s="12" t="s">
        <v>29</v>
      </c>
      <c r="C232" s="14">
        <v>36480</v>
      </c>
      <c r="D232" s="17">
        <f t="shared" si="25"/>
        <v>1999</v>
      </c>
      <c r="E232" s="16">
        <f t="shared" si="24"/>
        <v>26</v>
      </c>
      <c r="F232" s="12" t="str">
        <f t="shared" si="26"/>
        <v>20=&lt;30</v>
      </c>
      <c r="G232" s="12" t="s">
        <v>60</v>
      </c>
      <c r="H232" s="13">
        <v>969.5</v>
      </c>
      <c r="I232" s="12" t="str">
        <f t="shared" si="27"/>
        <v>&lt;1000 AZN</v>
      </c>
      <c r="J232" s="13">
        <v>3912.26</v>
      </c>
      <c r="K232" s="12" t="str">
        <f t="shared" si="28"/>
        <v>3000=&lt;4000 AZN</v>
      </c>
      <c r="L232" s="13">
        <f t="shared" si="29"/>
        <v>-2942.76</v>
      </c>
      <c r="M232" s="52" t="str">
        <f t="shared" si="30"/>
        <v>menfi</v>
      </c>
      <c r="N232" s="19" t="str">
        <f t="shared" si="31"/>
        <v>Elçin Bayramov 36480</v>
      </c>
    </row>
    <row r="233" spans="1:14" ht="14.25" customHeight="1" x14ac:dyDescent="0.25">
      <c r="A233" s="12" t="s">
        <v>276</v>
      </c>
      <c r="B233" s="12" t="s">
        <v>65</v>
      </c>
      <c r="C233" s="14">
        <v>32727</v>
      </c>
      <c r="D233" s="17">
        <f t="shared" si="25"/>
        <v>1989</v>
      </c>
      <c r="E233" s="16">
        <f t="shared" si="24"/>
        <v>36</v>
      </c>
      <c r="F233" s="12" t="str">
        <f t="shared" si="26"/>
        <v>30=&lt;40</v>
      </c>
      <c r="G233" s="12" t="s">
        <v>40</v>
      </c>
      <c r="H233" s="13">
        <v>780.95</v>
      </c>
      <c r="I233" s="12" t="str">
        <f t="shared" si="27"/>
        <v>&lt;1000 AZN</v>
      </c>
      <c r="J233" s="13">
        <v>4481.1499999999996</v>
      </c>
      <c r="K233" s="12" t="str">
        <f t="shared" si="28"/>
        <v>4000=&lt;5000 AZN</v>
      </c>
      <c r="L233" s="13">
        <f t="shared" si="29"/>
        <v>-3700.2</v>
      </c>
      <c r="M233" s="52" t="str">
        <f t="shared" si="30"/>
        <v>menfi</v>
      </c>
      <c r="N233" s="19" t="str">
        <f t="shared" si="31"/>
        <v>Maqsud Cabbarov 32727</v>
      </c>
    </row>
    <row r="234" spans="1:14" ht="14.25" customHeight="1" x14ac:dyDescent="0.25">
      <c r="A234" s="12" t="s">
        <v>277</v>
      </c>
      <c r="B234" s="12" t="s">
        <v>56</v>
      </c>
      <c r="C234" s="14">
        <v>32564</v>
      </c>
      <c r="D234" s="17">
        <f t="shared" si="25"/>
        <v>1989</v>
      </c>
      <c r="E234" s="16">
        <f t="shared" si="24"/>
        <v>36</v>
      </c>
      <c r="F234" s="12" t="str">
        <f t="shared" si="26"/>
        <v>30=&lt;40</v>
      </c>
      <c r="G234" s="12" t="s">
        <v>51</v>
      </c>
      <c r="H234" s="13">
        <v>1502.45</v>
      </c>
      <c r="I234" s="12" t="str">
        <f t="shared" si="27"/>
        <v>1000=&lt;2000 AZN</v>
      </c>
      <c r="J234" s="13">
        <v>2961.49</v>
      </c>
      <c r="K234" s="12" t="str">
        <f t="shared" si="28"/>
        <v>2000=&lt;3000 AZN</v>
      </c>
      <c r="L234" s="13">
        <f t="shared" si="29"/>
        <v>-1459.0399999999997</v>
      </c>
      <c r="M234" s="52" t="str">
        <f t="shared" si="30"/>
        <v>menfi</v>
      </c>
      <c r="N234" s="19" t="str">
        <f t="shared" si="31"/>
        <v>Maisə Talıbzadə 32564</v>
      </c>
    </row>
    <row r="235" spans="1:14" ht="14.25" customHeight="1" x14ac:dyDescent="0.25">
      <c r="A235" s="12" t="s">
        <v>278</v>
      </c>
      <c r="B235" s="12" t="s">
        <v>48</v>
      </c>
      <c r="C235" s="14">
        <v>30137</v>
      </c>
      <c r="D235" s="17">
        <f t="shared" si="25"/>
        <v>1982</v>
      </c>
      <c r="E235" s="16">
        <f t="shared" si="24"/>
        <v>43</v>
      </c>
      <c r="F235" s="12" t="str">
        <f t="shared" si="26"/>
        <v>40=&lt;60</v>
      </c>
      <c r="G235" s="12" t="s">
        <v>45</v>
      </c>
      <c r="H235" s="13">
        <v>1142.51</v>
      </c>
      <c r="I235" s="12" t="str">
        <f t="shared" si="27"/>
        <v>1000=&lt;2000 AZN</v>
      </c>
      <c r="J235" s="13">
        <v>2633.78</v>
      </c>
      <c r="K235" s="12" t="str">
        <f t="shared" si="28"/>
        <v>2000=&lt;3000 AZN</v>
      </c>
      <c r="L235" s="13">
        <f t="shared" si="29"/>
        <v>-1491.2700000000002</v>
      </c>
      <c r="M235" s="52" t="str">
        <f t="shared" si="30"/>
        <v>menfi</v>
      </c>
      <c r="N235" s="19" t="str">
        <f t="shared" si="31"/>
        <v>Gültac Abbasbəyli 30137</v>
      </c>
    </row>
    <row r="236" spans="1:14" ht="14.25" customHeight="1" x14ac:dyDescent="0.25">
      <c r="A236" s="12" t="s">
        <v>279</v>
      </c>
      <c r="B236" s="12" t="s">
        <v>44</v>
      </c>
      <c r="C236" s="14">
        <v>36439</v>
      </c>
      <c r="D236" s="17">
        <f t="shared" si="25"/>
        <v>1999</v>
      </c>
      <c r="E236" s="16">
        <f t="shared" si="24"/>
        <v>26</v>
      </c>
      <c r="F236" s="12" t="str">
        <f t="shared" si="26"/>
        <v>20=&lt;30</v>
      </c>
      <c r="G236" s="12" t="s">
        <v>51</v>
      </c>
      <c r="H236" s="13">
        <v>1559.63</v>
      </c>
      <c r="I236" s="12" t="str">
        <f t="shared" si="27"/>
        <v>1000=&lt;2000 AZN</v>
      </c>
      <c r="J236" s="13">
        <v>1340.2</v>
      </c>
      <c r="K236" s="12" t="str">
        <f t="shared" si="28"/>
        <v>1000=&lt;2000 AZN</v>
      </c>
      <c r="L236" s="13">
        <f t="shared" si="29"/>
        <v>219.43000000000006</v>
      </c>
      <c r="M236" s="52" t="str">
        <f t="shared" si="30"/>
        <v>musbet</v>
      </c>
      <c r="N236" s="19" t="str">
        <f t="shared" si="31"/>
        <v>Şirin Təhmin 36439</v>
      </c>
    </row>
    <row r="237" spans="1:14" ht="14.25" customHeight="1" x14ac:dyDescent="0.25">
      <c r="A237" s="12" t="s">
        <v>280</v>
      </c>
      <c r="B237" s="12" t="s">
        <v>30</v>
      </c>
      <c r="C237" s="14">
        <v>37571</v>
      </c>
      <c r="D237" s="17">
        <f t="shared" si="25"/>
        <v>2002</v>
      </c>
      <c r="E237" s="16">
        <f t="shared" si="24"/>
        <v>23</v>
      </c>
      <c r="F237" s="12" t="str">
        <f t="shared" si="26"/>
        <v>20=&lt;30</v>
      </c>
      <c r="G237" s="12" t="s">
        <v>42</v>
      </c>
      <c r="H237" s="13">
        <v>2137.2399999999998</v>
      </c>
      <c r="I237" s="12" t="str">
        <f t="shared" si="27"/>
        <v>2000=&lt;3000 AZN</v>
      </c>
      <c r="J237" s="13">
        <v>598.07000000000005</v>
      </c>
      <c r="K237" s="12" t="str">
        <f t="shared" si="28"/>
        <v>&lt;1000 AZN</v>
      </c>
      <c r="L237" s="13">
        <f t="shared" si="29"/>
        <v>1539.1699999999996</v>
      </c>
      <c r="M237" s="52" t="str">
        <f t="shared" si="30"/>
        <v>musbet</v>
      </c>
      <c r="N237" s="19" t="str">
        <f t="shared" si="31"/>
        <v>Rasimə Bəktaşi 37571</v>
      </c>
    </row>
    <row r="238" spans="1:14" ht="14.25" customHeight="1" x14ac:dyDescent="0.25">
      <c r="A238" s="12" t="s">
        <v>281</v>
      </c>
      <c r="B238" s="12" t="s">
        <v>29</v>
      </c>
      <c r="C238" s="14">
        <v>35840</v>
      </c>
      <c r="D238" s="17">
        <f t="shared" si="25"/>
        <v>1998</v>
      </c>
      <c r="E238" s="16">
        <f t="shared" si="24"/>
        <v>27</v>
      </c>
      <c r="F238" s="12" t="str">
        <f t="shared" si="26"/>
        <v>20=&lt;30</v>
      </c>
      <c r="G238" s="12" t="s">
        <v>60</v>
      </c>
      <c r="H238" s="13">
        <v>4436.68</v>
      </c>
      <c r="I238" s="12" t="str">
        <f t="shared" si="27"/>
        <v>4000=&lt;5000 AZN</v>
      </c>
      <c r="J238" s="13">
        <v>4963.63</v>
      </c>
      <c r="K238" s="12" t="str">
        <f t="shared" si="28"/>
        <v>4000=&lt;5000 AZN</v>
      </c>
      <c r="L238" s="13">
        <f t="shared" si="29"/>
        <v>-526.94999999999982</v>
      </c>
      <c r="M238" s="52" t="str">
        <f t="shared" si="30"/>
        <v>menfi</v>
      </c>
      <c r="N238" s="19" t="str">
        <f t="shared" si="31"/>
        <v>Rəhilə Bayramov 35840</v>
      </c>
    </row>
    <row r="239" spans="1:14" ht="14.25" customHeight="1" x14ac:dyDescent="0.25">
      <c r="A239" s="12" t="s">
        <v>282</v>
      </c>
      <c r="B239" s="12" t="s">
        <v>39</v>
      </c>
      <c r="C239" s="14">
        <v>31061</v>
      </c>
      <c r="D239" s="17">
        <f t="shared" si="25"/>
        <v>1985</v>
      </c>
      <c r="E239" s="16">
        <f t="shared" si="24"/>
        <v>40</v>
      </c>
      <c r="F239" s="12" t="str">
        <f t="shared" si="26"/>
        <v>40=&lt;60</v>
      </c>
      <c r="G239" s="12" t="s">
        <v>45</v>
      </c>
      <c r="H239" s="13">
        <v>563.01</v>
      </c>
      <c r="I239" s="12" t="str">
        <f t="shared" si="27"/>
        <v>&lt;1000 AZN</v>
      </c>
      <c r="J239" s="13">
        <v>2512.92</v>
      </c>
      <c r="K239" s="12" t="str">
        <f t="shared" si="28"/>
        <v>2000=&lt;3000 AZN</v>
      </c>
      <c r="L239" s="13">
        <f t="shared" si="29"/>
        <v>-1949.91</v>
      </c>
      <c r="M239" s="52" t="str">
        <f t="shared" si="30"/>
        <v>menfi</v>
      </c>
      <c r="N239" s="19" t="str">
        <f t="shared" si="31"/>
        <v>Meyransa Düzgün 31061</v>
      </c>
    </row>
    <row r="240" spans="1:14" ht="14.25" customHeight="1" x14ac:dyDescent="0.25">
      <c r="A240" s="12" t="s">
        <v>283</v>
      </c>
      <c r="B240" s="12" t="s">
        <v>27</v>
      </c>
      <c r="C240" s="14">
        <v>32457</v>
      </c>
      <c r="D240" s="17">
        <f t="shared" si="25"/>
        <v>1988</v>
      </c>
      <c r="E240" s="16">
        <f t="shared" si="24"/>
        <v>37</v>
      </c>
      <c r="F240" s="12" t="str">
        <f t="shared" si="26"/>
        <v>30=&lt;40</v>
      </c>
      <c r="G240" s="12" t="s">
        <v>66</v>
      </c>
      <c r="H240" s="13">
        <v>3776.66</v>
      </c>
      <c r="I240" s="12" t="str">
        <f t="shared" si="27"/>
        <v>3000=&lt;4000 AZN</v>
      </c>
      <c r="J240" s="13">
        <v>4831.5600000000004</v>
      </c>
      <c r="K240" s="12" t="str">
        <f t="shared" si="28"/>
        <v>4000=&lt;5000 AZN</v>
      </c>
      <c r="L240" s="13">
        <f t="shared" si="29"/>
        <v>-1054.9000000000005</v>
      </c>
      <c r="M240" s="52" t="str">
        <f t="shared" si="30"/>
        <v>menfi</v>
      </c>
      <c r="N240" s="19" t="str">
        <f t="shared" si="31"/>
        <v>Şaban Vurğun 32457</v>
      </c>
    </row>
    <row r="241" spans="1:14" ht="14.25" customHeight="1" x14ac:dyDescent="0.25">
      <c r="A241" s="12" t="s">
        <v>284</v>
      </c>
      <c r="B241" s="12" t="s">
        <v>65</v>
      </c>
      <c r="C241" s="14">
        <v>26316</v>
      </c>
      <c r="D241" s="17">
        <f t="shared" si="25"/>
        <v>1972</v>
      </c>
      <c r="E241" s="16">
        <f t="shared" si="24"/>
        <v>53</v>
      </c>
      <c r="F241" s="12" t="str">
        <f t="shared" si="26"/>
        <v>40=&lt;60</v>
      </c>
      <c r="G241" s="12" t="s">
        <v>49</v>
      </c>
      <c r="H241" s="13">
        <v>4138.04</v>
      </c>
      <c r="I241" s="12" t="str">
        <f t="shared" si="27"/>
        <v>4000=&lt;5000 AZN</v>
      </c>
      <c r="J241" s="13">
        <v>1831.34</v>
      </c>
      <c r="K241" s="12" t="str">
        <f t="shared" si="28"/>
        <v>1000=&lt;2000 AZN</v>
      </c>
      <c r="L241" s="13">
        <f t="shared" si="29"/>
        <v>2306.6999999999998</v>
      </c>
      <c r="M241" s="52" t="str">
        <f t="shared" si="30"/>
        <v>musbet</v>
      </c>
      <c r="N241" s="19" t="str">
        <f t="shared" si="31"/>
        <v>Zamir Cabbarov 26316</v>
      </c>
    </row>
    <row r="242" spans="1:14" ht="14.25" customHeight="1" x14ac:dyDescent="0.25">
      <c r="A242" s="12" t="s">
        <v>285</v>
      </c>
      <c r="B242" s="12" t="s">
        <v>26</v>
      </c>
      <c r="C242" s="14">
        <v>29358</v>
      </c>
      <c r="D242" s="17">
        <f t="shared" si="25"/>
        <v>1980</v>
      </c>
      <c r="E242" s="16">
        <f t="shared" si="24"/>
        <v>45</v>
      </c>
      <c r="F242" s="12" t="str">
        <f t="shared" si="26"/>
        <v>40=&lt;60</v>
      </c>
      <c r="G242" s="12" t="s">
        <v>60</v>
      </c>
      <c r="H242" s="13">
        <v>2638.03</v>
      </c>
      <c r="I242" s="12" t="str">
        <f t="shared" si="27"/>
        <v>2000=&lt;3000 AZN</v>
      </c>
      <c r="J242" s="13">
        <v>1635.92</v>
      </c>
      <c r="K242" s="12" t="str">
        <f t="shared" si="28"/>
        <v>1000=&lt;2000 AZN</v>
      </c>
      <c r="L242" s="13">
        <f t="shared" si="29"/>
        <v>1002.1100000000001</v>
      </c>
      <c r="M242" s="52" t="str">
        <f t="shared" si="30"/>
        <v>musbet</v>
      </c>
      <c r="N242" s="19" t="str">
        <f t="shared" si="31"/>
        <v>Xamis Həsənli 29358</v>
      </c>
    </row>
    <row r="243" spans="1:14" ht="14.25" customHeight="1" x14ac:dyDescent="0.25">
      <c r="A243" s="12" t="s">
        <v>286</v>
      </c>
      <c r="B243" s="12" t="s">
        <v>44</v>
      </c>
      <c r="C243" s="14">
        <v>29604</v>
      </c>
      <c r="D243" s="17">
        <f t="shared" si="25"/>
        <v>1981</v>
      </c>
      <c r="E243" s="16">
        <f t="shared" si="24"/>
        <v>44</v>
      </c>
      <c r="F243" s="12" t="str">
        <f t="shared" si="26"/>
        <v>40=&lt;60</v>
      </c>
      <c r="G243" s="12" t="s">
        <v>45</v>
      </c>
      <c r="H243" s="13">
        <v>559.47</v>
      </c>
      <c r="I243" s="12" t="str">
        <f t="shared" si="27"/>
        <v>&lt;1000 AZN</v>
      </c>
      <c r="J243" s="13">
        <v>353.51</v>
      </c>
      <c r="K243" s="12" t="str">
        <f t="shared" si="28"/>
        <v>&lt;1000 AZN</v>
      </c>
      <c r="L243" s="13">
        <f t="shared" si="29"/>
        <v>205.96000000000004</v>
      </c>
      <c r="M243" s="52" t="str">
        <f t="shared" si="30"/>
        <v>musbet</v>
      </c>
      <c r="N243" s="19" t="str">
        <f t="shared" si="31"/>
        <v>Adnan Təhmin 29604</v>
      </c>
    </row>
    <row r="244" spans="1:14" ht="14.25" customHeight="1" x14ac:dyDescent="0.25">
      <c r="A244" s="12" t="s">
        <v>287</v>
      </c>
      <c r="B244" s="12" t="s">
        <v>26</v>
      </c>
      <c r="C244" s="14">
        <v>34079</v>
      </c>
      <c r="D244" s="17">
        <f t="shared" si="25"/>
        <v>1993</v>
      </c>
      <c r="E244" s="16">
        <f t="shared" si="24"/>
        <v>32</v>
      </c>
      <c r="F244" s="12" t="str">
        <f t="shared" si="26"/>
        <v>30=&lt;40</v>
      </c>
      <c r="G244" s="12" t="s">
        <v>66</v>
      </c>
      <c r="H244" s="13">
        <v>4316.72</v>
      </c>
      <c r="I244" s="12" t="str">
        <f t="shared" si="27"/>
        <v>4000=&lt;5000 AZN</v>
      </c>
      <c r="J244" s="13">
        <v>326.45</v>
      </c>
      <c r="K244" s="12" t="str">
        <f t="shared" si="28"/>
        <v>&lt;1000 AZN</v>
      </c>
      <c r="L244" s="13">
        <f t="shared" si="29"/>
        <v>3990.2700000000004</v>
      </c>
      <c r="M244" s="52" t="str">
        <f t="shared" si="30"/>
        <v>musbet</v>
      </c>
      <c r="N244" s="19" t="str">
        <f t="shared" si="31"/>
        <v>Elmar Həsənli 34079</v>
      </c>
    </row>
    <row r="245" spans="1:14" ht="14.25" customHeight="1" x14ac:dyDescent="0.25">
      <c r="A245" s="12" t="s">
        <v>288</v>
      </c>
      <c r="B245" s="12" t="s">
        <v>65</v>
      </c>
      <c r="C245" s="14">
        <v>24093</v>
      </c>
      <c r="D245" s="17">
        <f t="shared" si="25"/>
        <v>1965</v>
      </c>
      <c r="E245" s="16">
        <f t="shared" si="24"/>
        <v>60</v>
      </c>
      <c r="F245" s="12" t="str">
        <f t="shared" si="26"/>
        <v>60=&lt;</v>
      </c>
      <c r="G245" s="12" t="s">
        <v>49</v>
      </c>
      <c r="H245" s="13">
        <v>1933.03</v>
      </c>
      <c r="I245" s="12" t="str">
        <f t="shared" si="27"/>
        <v>1000=&lt;2000 AZN</v>
      </c>
      <c r="J245" s="13">
        <v>4440.16</v>
      </c>
      <c r="K245" s="12" t="str">
        <f t="shared" si="28"/>
        <v>4000=&lt;5000 AZN</v>
      </c>
      <c r="L245" s="13">
        <f t="shared" si="29"/>
        <v>-2507.13</v>
      </c>
      <c r="M245" s="52" t="str">
        <f t="shared" si="30"/>
        <v>menfi</v>
      </c>
      <c r="N245" s="19" t="str">
        <f t="shared" si="31"/>
        <v>Nigar Cabbarov 24093</v>
      </c>
    </row>
    <row r="246" spans="1:14" ht="14.25" customHeight="1" x14ac:dyDescent="0.25">
      <c r="A246" s="12" t="s">
        <v>289</v>
      </c>
      <c r="B246" s="12" t="s">
        <v>65</v>
      </c>
      <c r="C246" s="14">
        <v>36763</v>
      </c>
      <c r="D246" s="17">
        <f t="shared" si="25"/>
        <v>2000</v>
      </c>
      <c r="E246" s="16">
        <f t="shared" si="24"/>
        <v>25</v>
      </c>
      <c r="F246" s="12" t="str">
        <f t="shared" si="26"/>
        <v>20=&lt;30</v>
      </c>
      <c r="G246" s="12" t="s">
        <v>42</v>
      </c>
      <c r="H246" s="13">
        <v>3953.33</v>
      </c>
      <c r="I246" s="12" t="str">
        <f t="shared" si="27"/>
        <v>3000=&lt;4000 AZN</v>
      </c>
      <c r="J246" s="13">
        <v>3184.19</v>
      </c>
      <c r="K246" s="12" t="str">
        <f t="shared" si="28"/>
        <v>3000=&lt;4000 AZN</v>
      </c>
      <c r="L246" s="13">
        <f t="shared" si="29"/>
        <v>769.13999999999987</v>
      </c>
      <c r="M246" s="52" t="str">
        <f t="shared" si="30"/>
        <v>musbet</v>
      </c>
      <c r="N246" s="19" t="str">
        <f t="shared" si="31"/>
        <v>Qönçə Cabbarov 36763</v>
      </c>
    </row>
    <row r="247" spans="1:14" ht="14.25" customHeight="1" x14ac:dyDescent="0.25">
      <c r="A247" s="12" t="s">
        <v>290</v>
      </c>
      <c r="B247" s="12" t="s">
        <v>29</v>
      </c>
      <c r="C247" s="14">
        <v>22666</v>
      </c>
      <c r="D247" s="17">
        <f t="shared" si="25"/>
        <v>1962</v>
      </c>
      <c r="E247" s="16">
        <f t="shared" si="24"/>
        <v>63</v>
      </c>
      <c r="F247" s="12" t="str">
        <f t="shared" si="26"/>
        <v>60=&lt;</v>
      </c>
      <c r="G247" s="12" t="s">
        <v>49</v>
      </c>
      <c r="H247" s="13">
        <v>3229.54</v>
      </c>
      <c r="I247" s="12" t="str">
        <f t="shared" si="27"/>
        <v>3000=&lt;4000 AZN</v>
      </c>
      <c r="J247" s="13">
        <v>4898.17</v>
      </c>
      <c r="K247" s="12" t="str">
        <f t="shared" si="28"/>
        <v>4000=&lt;5000 AZN</v>
      </c>
      <c r="L247" s="13">
        <f t="shared" si="29"/>
        <v>-1668.63</v>
      </c>
      <c r="M247" s="52" t="str">
        <f t="shared" si="30"/>
        <v>menfi</v>
      </c>
      <c r="N247" s="19" t="str">
        <f t="shared" si="31"/>
        <v>Qoşqar Bayramov 22666</v>
      </c>
    </row>
    <row r="248" spans="1:14" ht="14.25" customHeight="1" x14ac:dyDescent="0.25">
      <c r="A248" s="12" t="s">
        <v>291</v>
      </c>
      <c r="B248" s="12" t="s">
        <v>48</v>
      </c>
      <c r="C248" s="14">
        <v>28803</v>
      </c>
      <c r="D248" s="17">
        <f t="shared" si="25"/>
        <v>1978</v>
      </c>
      <c r="E248" s="16">
        <f t="shared" si="24"/>
        <v>47</v>
      </c>
      <c r="F248" s="12" t="str">
        <f t="shared" si="26"/>
        <v>40=&lt;60</v>
      </c>
      <c r="G248" s="12" t="s">
        <v>40</v>
      </c>
      <c r="H248" s="13">
        <v>1668.46</v>
      </c>
      <c r="I248" s="12" t="str">
        <f t="shared" si="27"/>
        <v>1000=&lt;2000 AZN</v>
      </c>
      <c r="J248" s="13">
        <v>4932.54</v>
      </c>
      <c r="K248" s="12" t="str">
        <f t="shared" si="28"/>
        <v>4000=&lt;5000 AZN</v>
      </c>
      <c r="L248" s="13">
        <f t="shared" si="29"/>
        <v>-3264.08</v>
      </c>
      <c r="M248" s="52" t="str">
        <f t="shared" si="30"/>
        <v>menfi</v>
      </c>
      <c r="N248" s="19" t="str">
        <f t="shared" si="31"/>
        <v>Röyal Abbasbəyli 28803</v>
      </c>
    </row>
    <row r="249" spans="1:14" ht="14.25" customHeight="1" x14ac:dyDescent="0.25">
      <c r="A249" s="12" t="s">
        <v>292</v>
      </c>
      <c r="B249" s="12" t="s">
        <v>44</v>
      </c>
      <c r="C249" s="14">
        <v>26324</v>
      </c>
      <c r="D249" s="17">
        <f t="shared" si="25"/>
        <v>1972</v>
      </c>
      <c r="E249" s="16">
        <f t="shared" si="24"/>
        <v>53</v>
      </c>
      <c r="F249" s="12" t="str">
        <f t="shared" si="26"/>
        <v>40=&lt;60</v>
      </c>
      <c r="G249" s="12" t="s">
        <v>51</v>
      </c>
      <c r="H249" s="13">
        <v>839.88</v>
      </c>
      <c r="I249" s="12" t="str">
        <f t="shared" si="27"/>
        <v>&lt;1000 AZN</v>
      </c>
      <c r="J249" s="13">
        <v>2281.48</v>
      </c>
      <c r="K249" s="12" t="str">
        <f t="shared" si="28"/>
        <v>2000=&lt;3000 AZN</v>
      </c>
      <c r="L249" s="13">
        <f t="shared" si="29"/>
        <v>-1441.6</v>
      </c>
      <c r="M249" s="52" t="str">
        <f t="shared" si="30"/>
        <v>menfi</v>
      </c>
      <c r="N249" s="19" t="str">
        <f t="shared" si="31"/>
        <v>Kəmaləddin Təhmin 26324</v>
      </c>
    </row>
    <row r="250" spans="1:14" ht="14.25" customHeight="1" x14ac:dyDescent="0.25">
      <c r="A250" s="12" t="s">
        <v>293</v>
      </c>
      <c r="B250" s="12" t="s">
        <v>29</v>
      </c>
      <c r="C250" s="14">
        <v>28335</v>
      </c>
      <c r="D250" s="17">
        <f t="shared" si="25"/>
        <v>1977</v>
      </c>
      <c r="E250" s="16">
        <f t="shared" si="24"/>
        <v>48</v>
      </c>
      <c r="F250" s="12" t="str">
        <f t="shared" si="26"/>
        <v>40=&lt;60</v>
      </c>
      <c r="G250" s="12" t="s">
        <v>42</v>
      </c>
      <c r="H250" s="13">
        <v>3005.27</v>
      </c>
      <c r="I250" s="12" t="str">
        <f t="shared" si="27"/>
        <v>3000=&lt;4000 AZN</v>
      </c>
      <c r="J250" s="13">
        <v>537.97</v>
      </c>
      <c r="K250" s="12" t="str">
        <f t="shared" si="28"/>
        <v>&lt;1000 AZN</v>
      </c>
      <c r="L250" s="13">
        <f t="shared" si="29"/>
        <v>2467.3000000000002</v>
      </c>
      <c r="M250" s="52" t="str">
        <f t="shared" si="30"/>
        <v>musbet</v>
      </c>
      <c r="N250" s="19" t="str">
        <f t="shared" si="31"/>
        <v>Rübeyda Bayramov 28335</v>
      </c>
    </row>
    <row r="251" spans="1:14" ht="14.25" customHeight="1" x14ac:dyDescent="0.25">
      <c r="A251" s="12" t="s">
        <v>294</v>
      </c>
      <c r="B251" s="12" t="s">
        <v>48</v>
      </c>
      <c r="C251" s="14">
        <v>29374</v>
      </c>
      <c r="D251" s="17">
        <f t="shared" si="25"/>
        <v>1980</v>
      </c>
      <c r="E251" s="16">
        <f t="shared" si="24"/>
        <v>45</v>
      </c>
      <c r="F251" s="12" t="str">
        <f t="shared" si="26"/>
        <v>40=&lt;60</v>
      </c>
      <c r="G251" s="12" t="s">
        <v>58</v>
      </c>
      <c r="H251" s="13">
        <v>765.64</v>
      </c>
      <c r="I251" s="12" t="str">
        <f t="shared" si="27"/>
        <v>&lt;1000 AZN</v>
      </c>
      <c r="J251" s="13">
        <v>2027.49</v>
      </c>
      <c r="K251" s="12" t="str">
        <f t="shared" si="28"/>
        <v>2000=&lt;3000 AZN</v>
      </c>
      <c r="L251" s="13">
        <f t="shared" si="29"/>
        <v>-1261.8499999999999</v>
      </c>
      <c r="M251" s="52" t="str">
        <f t="shared" si="30"/>
        <v>menfi</v>
      </c>
      <c r="N251" s="19" t="str">
        <f t="shared" si="31"/>
        <v>Nazir Abbasbəyli 29374</v>
      </c>
    </row>
    <row r="252" spans="1:14" ht="14.25" customHeight="1" x14ac:dyDescent="0.25">
      <c r="A252" s="12" t="s">
        <v>295</v>
      </c>
      <c r="B252" s="12" t="s">
        <v>30</v>
      </c>
      <c r="C252" s="14">
        <v>35848</v>
      </c>
      <c r="D252" s="17">
        <f t="shared" si="25"/>
        <v>1998</v>
      </c>
      <c r="E252" s="16">
        <f t="shared" si="24"/>
        <v>27</v>
      </c>
      <c r="F252" s="12" t="str">
        <f t="shared" si="26"/>
        <v>20=&lt;30</v>
      </c>
      <c r="G252" s="12" t="s">
        <v>49</v>
      </c>
      <c r="H252" s="13">
        <v>3439.57</v>
      </c>
      <c r="I252" s="12" t="str">
        <f t="shared" si="27"/>
        <v>3000=&lt;4000 AZN</v>
      </c>
      <c r="J252" s="13">
        <v>1723.68</v>
      </c>
      <c r="K252" s="12" t="str">
        <f t="shared" si="28"/>
        <v>1000=&lt;2000 AZN</v>
      </c>
      <c r="L252" s="13">
        <f t="shared" si="29"/>
        <v>1715.89</v>
      </c>
      <c r="M252" s="52" t="str">
        <f t="shared" si="30"/>
        <v>musbet</v>
      </c>
      <c r="N252" s="19" t="str">
        <f t="shared" si="31"/>
        <v>Yamən Bəktaşi 35848</v>
      </c>
    </row>
    <row r="253" spans="1:14" ht="14.25" customHeight="1" x14ac:dyDescent="0.25">
      <c r="A253" s="12" t="s">
        <v>296</v>
      </c>
      <c r="B253" s="12" t="s">
        <v>65</v>
      </c>
      <c r="C253" s="14">
        <v>34540</v>
      </c>
      <c r="D253" s="17">
        <f t="shared" si="25"/>
        <v>1994</v>
      </c>
      <c r="E253" s="16">
        <f t="shared" si="24"/>
        <v>31</v>
      </c>
      <c r="F253" s="12" t="str">
        <f t="shared" si="26"/>
        <v>30=&lt;40</v>
      </c>
      <c r="G253" s="12" t="s">
        <v>45</v>
      </c>
      <c r="H253" s="13">
        <v>1308.73</v>
      </c>
      <c r="I253" s="12" t="str">
        <f t="shared" si="27"/>
        <v>1000=&lt;2000 AZN</v>
      </c>
      <c r="J253" s="13">
        <v>3874.03</v>
      </c>
      <c r="K253" s="12" t="str">
        <f t="shared" si="28"/>
        <v>3000=&lt;4000 AZN</v>
      </c>
      <c r="L253" s="13">
        <f t="shared" si="29"/>
        <v>-2565.3000000000002</v>
      </c>
      <c r="M253" s="52" t="str">
        <f t="shared" si="30"/>
        <v>menfi</v>
      </c>
      <c r="N253" s="19" t="str">
        <f t="shared" si="31"/>
        <v>Əsmər Cabbarov 34540</v>
      </c>
    </row>
    <row r="254" spans="1:14" ht="14.25" customHeight="1" x14ac:dyDescent="0.25">
      <c r="A254" s="12" t="s">
        <v>297</v>
      </c>
      <c r="B254" s="12" t="s">
        <v>44</v>
      </c>
      <c r="C254" s="14">
        <v>27300</v>
      </c>
      <c r="D254" s="17">
        <f t="shared" si="25"/>
        <v>1974</v>
      </c>
      <c r="E254" s="16">
        <f t="shared" si="24"/>
        <v>51</v>
      </c>
      <c r="F254" s="12" t="str">
        <f t="shared" si="26"/>
        <v>40=&lt;60</v>
      </c>
      <c r="G254" s="12" t="s">
        <v>42</v>
      </c>
      <c r="H254" s="13">
        <v>4742.7700000000004</v>
      </c>
      <c r="I254" s="12" t="str">
        <f t="shared" si="27"/>
        <v>4000=&lt;5000 AZN</v>
      </c>
      <c r="J254" s="13">
        <v>834.47</v>
      </c>
      <c r="K254" s="12" t="str">
        <f t="shared" si="28"/>
        <v>&lt;1000 AZN</v>
      </c>
      <c r="L254" s="13">
        <f t="shared" si="29"/>
        <v>3908.3</v>
      </c>
      <c r="M254" s="52" t="str">
        <f t="shared" si="30"/>
        <v>musbet</v>
      </c>
      <c r="N254" s="19" t="str">
        <f t="shared" si="31"/>
        <v>Rəşad Təhmin 27300</v>
      </c>
    </row>
    <row r="255" spans="1:14" ht="14.25" customHeight="1" x14ac:dyDescent="0.25">
      <c r="A255" s="12" t="s">
        <v>298</v>
      </c>
      <c r="B255" s="12" t="s">
        <v>39</v>
      </c>
      <c r="C255" s="14">
        <v>29259</v>
      </c>
      <c r="D255" s="17">
        <f t="shared" si="25"/>
        <v>1980</v>
      </c>
      <c r="E255" s="16">
        <f t="shared" si="24"/>
        <v>45</v>
      </c>
      <c r="F255" s="12" t="str">
        <f t="shared" si="26"/>
        <v>40=&lt;60</v>
      </c>
      <c r="G255" s="12" t="s">
        <v>60</v>
      </c>
      <c r="H255" s="13">
        <v>4433.38</v>
      </c>
      <c r="I255" s="12" t="str">
        <f t="shared" si="27"/>
        <v>4000=&lt;5000 AZN</v>
      </c>
      <c r="J255" s="13">
        <v>1937.05</v>
      </c>
      <c r="K255" s="12" t="str">
        <f t="shared" si="28"/>
        <v>1000=&lt;2000 AZN</v>
      </c>
      <c r="L255" s="13">
        <f t="shared" si="29"/>
        <v>2496.33</v>
      </c>
      <c r="M255" s="52" t="str">
        <f t="shared" si="30"/>
        <v>musbet</v>
      </c>
      <c r="N255" s="19" t="str">
        <f t="shared" si="31"/>
        <v>Selcan Düzgün 29259</v>
      </c>
    </row>
    <row r="256" spans="1:14" ht="14.25" customHeight="1" x14ac:dyDescent="0.25">
      <c r="A256" s="12" t="s">
        <v>299</v>
      </c>
      <c r="B256" s="12" t="s">
        <v>27</v>
      </c>
      <c r="C256" s="14">
        <v>35921</v>
      </c>
      <c r="D256" s="17">
        <f t="shared" si="25"/>
        <v>1998</v>
      </c>
      <c r="E256" s="16">
        <f t="shared" si="24"/>
        <v>27</v>
      </c>
      <c r="F256" s="12" t="str">
        <f t="shared" si="26"/>
        <v>20=&lt;30</v>
      </c>
      <c r="G256" s="12" t="s">
        <v>53</v>
      </c>
      <c r="H256" s="13">
        <v>3912.49</v>
      </c>
      <c r="I256" s="12" t="str">
        <f t="shared" si="27"/>
        <v>3000=&lt;4000 AZN</v>
      </c>
      <c r="J256" s="13">
        <v>4530.5200000000004</v>
      </c>
      <c r="K256" s="12" t="str">
        <f t="shared" si="28"/>
        <v>4000=&lt;5000 AZN</v>
      </c>
      <c r="L256" s="13">
        <f t="shared" si="29"/>
        <v>-618.03000000000065</v>
      </c>
      <c r="M256" s="52" t="str">
        <f t="shared" si="30"/>
        <v>menfi</v>
      </c>
      <c r="N256" s="19" t="str">
        <f t="shared" si="31"/>
        <v>Fatimə Vurğun 35921</v>
      </c>
    </row>
    <row r="257" spans="1:14" ht="14.25" customHeight="1" x14ac:dyDescent="0.25">
      <c r="A257" s="12" t="s">
        <v>300</v>
      </c>
      <c r="B257" s="12" t="s">
        <v>39</v>
      </c>
      <c r="C257" s="14">
        <v>36724</v>
      </c>
      <c r="D257" s="17">
        <f t="shared" si="25"/>
        <v>2000</v>
      </c>
      <c r="E257" s="16">
        <f t="shared" si="24"/>
        <v>25</v>
      </c>
      <c r="F257" s="12" t="str">
        <f t="shared" si="26"/>
        <v>20=&lt;30</v>
      </c>
      <c r="G257" s="12" t="s">
        <v>63</v>
      </c>
      <c r="H257" s="13">
        <v>4728.71</v>
      </c>
      <c r="I257" s="12" t="str">
        <f t="shared" si="27"/>
        <v>4000=&lt;5000 AZN</v>
      </c>
      <c r="J257" s="13">
        <v>467.88</v>
      </c>
      <c r="K257" s="12" t="str">
        <f t="shared" si="28"/>
        <v>&lt;1000 AZN</v>
      </c>
      <c r="L257" s="13">
        <f t="shared" si="29"/>
        <v>4260.83</v>
      </c>
      <c r="M257" s="52" t="str">
        <f t="shared" si="30"/>
        <v>musbet</v>
      </c>
      <c r="N257" s="19" t="str">
        <f t="shared" si="31"/>
        <v>Həzi Düzgün 36724</v>
      </c>
    </row>
    <row r="258" spans="1:14" ht="14.25" customHeight="1" x14ac:dyDescent="0.25">
      <c r="A258" s="12" t="s">
        <v>301</v>
      </c>
      <c r="B258" s="12" t="s">
        <v>39</v>
      </c>
      <c r="C258" s="14">
        <v>35307</v>
      </c>
      <c r="D258" s="17">
        <f t="shared" si="25"/>
        <v>1996</v>
      </c>
      <c r="E258" s="16">
        <f t="shared" ref="E258:E321" si="32">2025-D258</f>
        <v>29</v>
      </c>
      <c r="F258" s="12" t="str">
        <f t="shared" si="26"/>
        <v>20=&lt;30</v>
      </c>
      <c r="G258" s="12" t="s">
        <v>53</v>
      </c>
      <c r="H258" s="13">
        <v>789.68</v>
      </c>
      <c r="I258" s="12" t="str">
        <f t="shared" si="27"/>
        <v>&lt;1000 AZN</v>
      </c>
      <c r="J258" s="13">
        <v>4797.75</v>
      </c>
      <c r="K258" s="12" t="str">
        <f t="shared" si="28"/>
        <v>4000=&lt;5000 AZN</v>
      </c>
      <c r="L258" s="13">
        <f t="shared" si="29"/>
        <v>-4008.07</v>
      </c>
      <c r="M258" s="52" t="str">
        <f t="shared" si="30"/>
        <v>menfi</v>
      </c>
      <c r="N258" s="19" t="str">
        <f t="shared" si="31"/>
        <v>Sahibə Düzgün 35307</v>
      </c>
    </row>
    <row r="259" spans="1:14" ht="14.25" customHeight="1" x14ac:dyDescent="0.25">
      <c r="A259" s="12" t="s">
        <v>302</v>
      </c>
      <c r="B259" s="12" t="s">
        <v>56</v>
      </c>
      <c r="C259" s="14">
        <v>34391</v>
      </c>
      <c r="D259" s="17">
        <f t="shared" ref="D259:D322" si="33">YEAR(C259)</f>
        <v>1994</v>
      </c>
      <c r="E259" s="16">
        <f t="shared" si="32"/>
        <v>31</v>
      </c>
      <c r="F259" s="12" t="str">
        <f t="shared" ref="F259:F322" si="34">IF(AND(E259&gt;=0,E259&lt;20),"0=&lt;20",IF(AND(E259&gt;=20,E259&lt;30),"20=&lt;30",IF(AND(E259&gt;=30,E259&lt;40),"30=&lt;40",IF(AND(E259&gt;=40,E259&lt;60),"40=&lt;60",IF(AND(E259&gt;=60),"60=&lt;")))))</f>
        <v>30=&lt;40</v>
      </c>
      <c r="G259" s="12" t="s">
        <v>60</v>
      </c>
      <c r="H259" s="13">
        <v>2802.54</v>
      </c>
      <c r="I259" s="12" t="str">
        <f t="shared" ref="I259:I322" si="35">IF(AND(H259&lt;1000),"&lt;1000 AZN",IF(AND(H259&gt;=1000,H259&lt;2000),"1000=&lt;2000 AZN",IF(AND(H259&gt;=2000,H259&lt;3000),"2000=&lt;3000 AZN",IF(AND(H259&gt;=3000,H259&lt;4000),"3000=&lt;4000 AZN",IF(AND(H259&gt;=4000,H259&lt;5000),"4000=&lt;5000 AZN",IF(AND(H259&gt;=5000,),"5000=&lt;  AZN"))))))</f>
        <v>2000=&lt;3000 AZN</v>
      </c>
      <c r="J259" s="13">
        <v>4602.7299999999996</v>
      </c>
      <c r="K259" s="12" t="str">
        <f t="shared" ref="K259:K322" si="36">IF(AND(J259&lt;1000),"&lt;1000 AZN",IF(AND(J259&gt;=1000,J259&lt;2000),"1000=&lt;2000 AZN",IF(AND(J259&gt;=2000,J259&lt;3000),"2000=&lt;3000 AZN",IF(AND(J259&gt;=3000,J259&lt;4000),"3000=&lt;4000 AZN",IF(AND(J259&gt;=4000,J259&lt;5000),"4000=&lt;5000 AZN",IF(AND(J259&gt;=5000,),"5000=&lt;  AZN"))))))</f>
        <v>4000=&lt;5000 AZN</v>
      </c>
      <c r="L259" s="13">
        <f t="shared" ref="L259:L322" si="37">H259-J259</f>
        <v>-1800.1899999999996</v>
      </c>
      <c r="M259" s="52" t="str">
        <f t="shared" ref="M259:M322" si="38">IF(L259&lt;0,"menfi","musbet")</f>
        <v>menfi</v>
      </c>
      <c r="N259" s="19" t="str">
        <f t="shared" ref="N259:N322" si="39">_xlfn.CONCAT(A259," ",B259," ",C259)</f>
        <v>Çimnaz Talıbzadə 34391</v>
      </c>
    </row>
    <row r="260" spans="1:14" ht="14.25" customHeight="1" x14ac:dyDescent="0.25">
      <c r="A260" s="12" t="s">
        <v>303</v>
      </c>
      <c r="B260" s="12" t="s">
        <v>39</v>
      </c>
      <c r="C260" s="14">
        <v>27131</v>
      </c>
      <c r="D260" s="17">
        <f t="shared" si="33"/>
        <v>1974</v>
      </c>
      <c r="E260" s="16">
        <f t="shared" si="32"/>
        <v>51</v>
      </c>
      <c r="F260" s="12" t="str">
        <f t="shared" si="34"/>
        <v>40=&lt;60</v>
      </c>
      <c r="G260" s="12" t="s">
        <v>58</v>
      </c>
      <c r="H260" s="13">
        <v>497.97</v>
      </c>
      <c r="I260" s="12" t="str">
        <f t="shared" si="35"/>
        <v>&lt;1000 AZN</v>
      </c>
      <c r="J260" s="13">
        <v>1155.06</v>
      </c>
      <c r="K260" s="12" t="str">
        <f t="shared" si="36"/>
        <v>1000=&lt;2000 AZN</v>
      </c>
      <c r="L260" s="13">
        <f t="shared" si="37"/>
        <v>-657.08999999999992</v>
      </c>
      <c r="M260" s="52" t="str">
        <f t="shared" si="38"/>
        <v>menfi</v>
      </c>
      <c r="N260" s="19" t="str">
        <f t="shared" si="39"/>
        <v>Hacıbəy Düzgün 27131</v>
      </c>
    </row>
    <row r="261" spans="1:14" ht="14.25" customHeight="1" x14ac:dyDescent="0.25">
      <c r="A261" s="12" t="s">
        <v>304</v>
      </c>
      <c r="B261" s="12" t="s">
        <v>56</v>
      </c>
      <c r="C261" s="14">
        <v>34171</v>
      </c>
      <c r="D261" s="17">
        <f t="shared" si="33"/>
        <v>1993</v>
      </c>
      <c r="E261" s="16">
        <f t="shared" si="32"/>
        <v>32</v>
      </c>
      <c r="F261" s="12" t="str">
        <f t="shared" si="34"/>
        <v>30=&lt;40</v>
      </c>
      <c r="G261" s="12" t="s">
        <v>53</v>
      </c>
      <c r="H261" s="13">
        <v>1013.9</v>
      </c>
      <c r="I261" s="12" t="str">
        <f t="shared" si="35"/>
        <v>1000=&lt;2000 AZN</v>
      </c>
      <c r="J261" s="13">
        <v>4361.21</v>
      </c>
      <c r="K261" s="12" t="str">
        <f t="shared" si="36"/>
        <v>4000=&lt;5000 AZN</v>
      </c>
      <c r="L261" s="13">
        <f t="shared" si="37"/>
        <v>-3347.31</v>
      </c>
      <c r="M261" s="52" t="str">
        <f t="shared" si="38"/>
        <v>menfi</v>
      </c>
      <c r="N261" s="19" t="str">
        <f t="shared" si="39"/>
        <v>Riyad Talıbzadə 34171</v>
      </c>
    </row>
    <row r="262" spans="1:14" ht="14.25" customHeight="1" x14ac:dyDescent="0.25">
      <c r="A262" s="12" t="s">
        <v>305</v>
      </c>
      <c r="B262" s="12" t="s">
        <v>26</v>
      </c>
      <c r="C262" s="14">
        <v>34329</v>
      </c>
      <c r="D262" s="17">
        <f t="shared" si="33"/>
        <v>1993</v>
      </c>
      <c r="E262" s="16">
        <f t="shared" si="32"/>
        <v>32</v>
      </c>
      <c r="F262" s="12" t="str">
        <f t="shared" si="34"/>
        <v>30=&lt;40</v>
      </c>
      <c r="G262" s="12" t="s">
        <v>42</v>
      </c>
      <c r="H262" s="13">
        <v>1767.77</v>
      </c>
      <c r="I262" s="12" t="str">
        <f t="shared" si="35"/>
        <v>1000=&lt;2000 AZN</v>
      </c>
      <c r="J262" s="13">
        <v>1174.6099999999999</v>
      </c>
      <c r="K262" s="12" t="str">
        <f t="shared" si="36"/>
        <v>1000=&lt;2000 AZN</v>
      </c>
      <c r="L262" s="13">
        <f t="shared" si="37"/>
        <v>593.16000000000008</v>
      </c>
      <c r="M262" s="52" t="str">
        <f t="shared" si="38"/>
        <v>musbet</v>
      </c>
      <c r="N262" s="19" t="str">
        <f t="shared" si="39"/>
        <v>Sadıq Həsənli 34329</v>
      </c>
    </row>
    <row r="263" spans="1:14" ht="14.25" customHeight="1" x14ac:dyDescent="0.25">
      <c r="A263" s="12" t="s">
        <v>306</v>
      </c>
      <c r="B263" s="12" t="s">
        <v>28</v>
      </c>
      <c r="C263" s="14">
        <v>35820</v>
      </c>
      <c r="D263" s="17">
        <f t="shared" si="33"/>
        <v>1998</v>
      </c>
      <c r="E263" s="16">
        <f t="shared" si="32"/>
        <v>27</v>
      </c>
      <c r="F263" s="12" t="str">
        <f t="shared" si="34"/>
        <v>20=&lt;30</v>
      </c>
      <c r="G263" s="12" t="s">
        <v>60</v>
      </c>
      <c r="H263" s="13">
        <v>3452.94</v>
      </c>
      <c r="I263" s="12" t="str">
        <f t="shared" si="35"/>
        <v>3000=&lt;4000 AZN</v>
      </c>
      <c r="J263" s="13">
        <v>2222.81</v>
      </c>
      <c r="K263" s="12" t="str">
        <f t="shared" si="36"/>
        <v>2000=&lt;3000 AZN</v>
      </c>
      <c r="L263" s="13">
        <f t="shared" si="37"/>
        <v>1230.1300000000001</v>
      </c>
      <c r="M263" s="52" t="str">
        <f t="shared" si="38"/>
        <v>musbet</v>
      </c>
      <c r="N263" s="19" t="str">
        <f t="shared" si="39"/>
        <v>Bilal Mirzəyev 35820</v>
      </c>
    </row>
    <row r="264" spans="1:14" ht="14.25" customHeight="1" x14ac:dyDescent="0.25">
      <c r="A264" s="12" t="s">
        <v>307</v>
      </c>
      <c r="B264" s="12" t="s">
        <v>26</v>
      </c>
      <c r="C264" s="14">
        <v>32270</v>
      </c>
      <c r="D264" s="17">
        <f t="shared" si="33"/>
        <v>1988</v>
      </c>
      <c r="E264" s="16">
        <f t="shared" si="32"/>
        <v>37</v>
      </c>
      <c r="F264" s="12" t="str">
        <f t="shared" si="34"/>
        <v>30=&lt;40</v>
      </c>
      <c r="G264" s="12" t="s">
        <v>53</v>
      </c>
      <c r="H264" s="13">
        <v>4714.0200000000004</v>
      </c>
      <c r="I264" s="12" t="str">
        <f t="shared" si="35"/>
        <v>4000=&lt;5000 AZN</v>
      </c>
      <c r="J264" s="13">
        <v>4277.62</v>
      </c>
      <c r="K264" s="12" t="str">
        <f t="shared" si="36"/>
        <v>4000=&lt;5000 AZN</v>
      </c>
      <c r="L264" s="13">
        <f t="shared" si="37"/>
        <v>436.40000000000055</v>
      </c>
      <c r="M264" s="52" t="str">
        <f t="shared" si="38"/>
        <v>musbet</v>
      </c>
      <c r="N264" s="19" t="str">
        <f t="shared" si="39"/>
        <v>Əhməd Həsənli 32270</v>
      </c>
    </row>
    <row r="265" spans="1:14" ht="14.25" customHeight="1" x14ac:dyDescent="0.25">
      <c r="A265" s="12" t="s">
        <v>308</v>
      </c>
      <c r="B265" s="12" t="s">
        <v>48</v>
      </c>
      <c r="C265" s="14">
        <v>24042</v>
      </c>
      <c r="D265" s="17">
        <f t="shared" si="33"/>
        <v>1965</v>
      </c>
      <c r="E265" s="16">
        <f t="shared" si="32"/>
        <v>60</v>
      </c>
      <c r="F265" s="12" t="str">
        <f t="shared" si="34"/>
        <v>60=&lt;</v>
      </c>
      <c r="G265" s="12" t="s">
        <v>40</v>
      </c>
      <c r="H265" s="13">
        <v>1735.26</v>
      </c>
      <c r="I265" s="12" t="str">
        <f t="shared" si="35"/>
        <v>1000=&lt;2000 AZN</v>
      </c>
      <c r="J265" s="13">
        <v>608.64</v>
      </c>
      <c r="K265" s="12" t="str">
        <f t="shared" si="36"/>
        <v>&lt;1000 AZN</v>
      </c>
      <c r="L265" s="13">
        <f t="shared" si="37"/>
        <v>1126.6199999999999</v>
      </c>
      <c r="M265" s="52" t="str">
        <f t="shared" si="38"/>
        <v>musbet</v>
      </c>
      <c r="N265" s="19" t="str">
        <f t="shared" si="39"/>
        <v>Fəyyaz Abbasbəyli 24042</v>
      </c>
    </row>
    <row r="266" spans="1:14" ht="14.25" customHeight="1" x14ac:dyDescent="0.25">
      <c r="A266" s="12" t="s">
        <v>309</v>
      </c>
      <c r="B266" s="12" t="s">
        <v>65</v>
      </c>
      <c r="C266" s="14">
        <v>30111</v>
      </c>
      <c r="D266" s="17">
        <f t="shared" si="33"/>
        <v>1982</v>
      </c>
      <c r="E266" s="16">
        <f t="shared" si="32"/>
        <v>43</v>
      </c>
      <c r="F266" s="12" t="str">
        <f t="shared" si="34"/>
        <v>40=&lt;60</v>
      </c>
      <c r="G266" s="12" t="s">
        <v>51</v>
      </c>
      <c r="H266" s="13">
        <v>4739.2</v>
      </c>
      <c r="I266" s="12" t="str">
        <f t="shared" si="35"/>
        <v>4000=&lt;5000 AZN</v>
      </c>
      <c r="J266" s="13">
        <v>4111.1000000000004</v>
      </c>
      <c r="K266" s="12" t="str">
        <f t="shared" si="36"/>
        <v>4000=&lt;5000 AZN</v>
      </c>
      <c r="L266" s="13">
        <f t="shared" si="37"/>
        <v>628.09999999999945</v>
      </c>
      <c r="M266" s="52" t="str">
        <f t="shared" si="38"/>
        <v>musbet</v>
      </c>
      <c r="N266" s="19" t="str">
        <f t="shared" si="39"/>
        <v>Rəmziyyə Cabbarov 30111</v>
      </c>
    </row>
    <row r="267" spans="1:14" ht="14.25" customHeight="1" x14ac:dyDescent="0.25">
      <c r="A267" s="12" t="s">
        <v>310</v>
      </c>
      <c r="B267" s="12" t="s">
        <v>48</v>
      </c>
      <c r="C267" s="14">
        <v>28943</v>
      </c>
      <c r="D267" s="17">
        <f t="shared" si="33"/>
        <v>1979</v>
      </c>
      <c r="E267" s="16">
        <f t="shared" si="32"/>
        <v>46</v>
      </c>
      <c r="F267" s="12" t="str">
        <f t="shared" si="34"/>
        <v>40=&lt;60</v>
      </c>
      <c r="G267" s="12" t="s">
        <v>45</v>
      </c>
      <c r="H267" s="13">
        <v>552.39</v>
      </c>
      <c r="I267" s="12" t="str">
        <f t="shared" si="35"/>
        <v>&lt;1000 AZN</v>
      </c>
      <c r="J267" s="13">
        <v>3182.3</v>
      </c>
      <c r="K267" s="12" t="str">
        <f t="shared" si="36"/>
        <v>3000=&lt;4000 AZN</v>
      </c>
      <c r="L267" s="13">
        <f t="shared" si="37"/>
        <v>-2629.9100000000003</v>
      </c>
      <c r="M267" s="52" t="str">
        <f t="shared" si="38"/>
        <v>menfi</v>
      </c>
      <c r="N267" s="19" t="str">
        <f t="shared" si="39"/>
        <v>Rüfət Abbasbəyli 28943</v>
      </c>
    </row>
    <row r="268" spans="1:14" ht="14.25" customHeight="1" x14ac:dyDescent="0.25">
      <c r="A268" s="12" t="s">
        <v>311</v>
      </c>
      <c r="B268" s="12" t="s">
        <v>27</v>
      </c>
      <c r="C268" s="14">
        <v>26201</v>
      </c>
      <c r="D268" s="17">
        <f t="shared" si="33"/>
        <v>1971</v>
      </c>
      <c r="E268" s="16">
        <f t="shared" si="32"/>
        <v>54</v>
      </c>
      <c r="F268" s="12" t="str">
        <f t="shared" si="34"/>
        <v>40=&lt;60</v>
      </c>
      <c r="G268" s="12" t="s">
        <v>60</v>
      </c>
      <c r="H268" s="13">
        <v>4511</v>
      </c>
      <c r="I268" s="12" t="str">
        <f t="shared" si="35"/>
        <v>4000=&lt;5000 AZN</v>
      </c>
      <c r="J268" s="13">
        <v>1146.33</v>
      </c>
      <c r="K268" s="12" t="str">
        <f t="shared" si="36"/>
        <v>1000=&lt;2000 AZN</v>
      </c>
      <c r="L268" s="13">
        <f t="shared" si="37"/>
        <v>3364.67</v>
      </c>
      <c r="M268" s="52" t="str">
        <f t="shared" si="38"/>
        <v>musbet</v>
      </c>
      <c r="N268" s="19" t="str">
        <f t="shared" si="39"/>
        <v>İzzət Vurğun 26201</v>
      </c>
    </row>
    <row r="269" spans="1:14" ht="14.25" customHeight="1" x14ac:dyDescent="0.25">
      <c r="A269" s="12" t="s">
        <v>312</v>
      </c>
      <c r="B269" s="12" t="s">
        <v>27</v>
      </c>
      <c r="C269" s="14">
        <v>34674</v>
      </c>
      <c r="D269" s="17">
        <f t="shared" si="33"/>
        <v>1994</v>
      </c>
      <c r="E269" s="16">
        <f t="shared" si="32"/>
        <v>31</v>
      </c>
      <c r="F269" s="12" t="str">
        <f t="shared" si="34"/>
        <v>30=&lt;40</v>
      </c>
      <c r="G269" s="12" t="s">
        <v>60</v>
      </c>
      <c r="H269" s="13">
        <v>1013.37</v>
      </c>
      <c r="I269" s="12" t="str">
        <f t="shared" si="35"/>
        <v>1000=&lt;2000 AZN</v>
      </c>
      <c r="J269" s="13">
        <v>1680.42</v>
      </c>
      <c r="K269" s="12" t="str">
        <f t="shared" si="36"/>
        <v>1000=&lt;2000 AZN</v>
      </c>
      <c r="L269" s="13">
        <f t="shared" si="37"/>
        <v>-667.05000000000007</v>
      </c>
      <c r="M269" s="52" t="str">
        <f t="shared" si="38"/>
        <v>menfi</v>
      </c>
      <c r="N269" s="19" t="str">
        <f t="shared" si="39"/>
        <v>Xəyal Vurğun 34674</v>
      </c>
    </row>
    <row r="270" spans="1:14" ht="14.25" customHeight="1" x14ac:dyDescent="0.25">
      <c r="A270" s="12" t="s">
        <v>313</v>
      </c>
      <c r="B270" s="12" t="s">
        <v>26</v>
      </c>
      <c r="C270" s="14">
        <v>31199</v>
      </c>
      <c r="D270" s="17">
        <f t="shared" si="33"/>
        <v>1985</v>
      </c>
      <c r="E270" s="16">
        <f t="shared" si="32"/>
        <v>40</v>
      </c>
      <c r="F270" s="12" t="str">
        <f t="shared" si="34"/>
        <v>40=&lt;60</v>
      </c>
      <c r="G270" s="12" t="s">
        <v>53</v>
      </c>
      <c r="H270" s="13">
        <v>2082.73</v>
      </c>
      <c r="I270" s="12" t="str">
        <f t="shared" si="35"/>
        <v>2000=&lt;3000 AZN</v>
      </c>
      <c r="J270" s="13">
        <v>1289.1300000000001</v>
      </c>
      <c r="K270" s="12" t="str">
        <f t="shared" si="36"/>
        <v>1000=&lt;2000 AZN</v>
      </c>
      <c r="L270" s="13">
        <f t="shared" si="37"/>
        <v>793.59999999999991</v>
      </c>
      <c r="M270" s="52" t="str">
        <f t="shared" si="38"/>
        <v>musbet</v>
      </c>
      <c r="N270" s="19" t="str">
        <f t="shared" si="39"/>
        <v>Səlim Həsənli 31199</v>
      </c>
    </row>
    <row r="271" spans="1:14" ht="14.25" customHeight="1" x14ac:dyDescent="0.25">
      <c r="A271" s="12" t="s">
        <v>314</v>
      </c>
      <c r="B271" s="12" t="s">
        <v>56</v>
      </c>
      <c r="C271" s="14">
        <v>27366</v>
      </c>
      <c r="D271" s="17">
        <f t="shared" si="33"/>
        <v>1974</v>
      </c>
      <c r="E271" s="16">
        <f t="shared" si="32"/>
        <v>51</v>
      </c>
      <c r="F271" s="12" t="str">
        <f t="shared" si="34"/>
        <v>40=&lt;60</v>
      </c>
      <c r="G271" s="12" t="s">
        <v>51</v>
      </c>
      <c r="H271" s="13">
        <v>859.26</v>
      </c>
      <c r="I271" s="12" t="str">
        <f t="shared" si="35"/>
        <v>&lt;1000 AZN</v>
      </c>
      <c r="J271" s="13">
        <v>3946.33</v>
      </c>
      <c r="K271" s="12" t="str">
        <f t="shared" si="36"/>
        <v>3000=&lt;4000 AZN</v>
      </c>
      <c r="L271" s="13">
        <f t="shared" si="37"/>
        <v>-3087.0699999999997</v>
      </c>
      <c r="M271" s="52" t="str">
        <f t="shared" si="38"/>
        <v>menfi</v>
      </c>
      <c r="N271" s="19" t="str">
        <f t="shared" si="39"/>
        <v>Natiq Talıbzadə 27366</v>
      </c>
    </row>
    <row r="272" spans="1:14" ht="14.25" customHeight="1" x14ac:dyDescent="0.25">
      <c r="A272" s="12" t="s">
        <v>315</v>
      </c>
      <c r="B272" s="12" t="s">
        <v>65</v>
      </c>
      <c r="C272" s="14">
        <v>27263</v>
      </c>
      <c r="D272" s="17">
        <f t="shared" si="33"/>
        <v>1974</v>
      </c>
      <c r="E272" s="16">
        <f t="shared" si="32"/>
        <v>51</v>
      </c>
      <c r="F272" s="12" t="str">
        <f t="shared" si="34"/>
        <v>40=&lt;60</v>
      </c>
      <c r="G272" s="12" t="s">
        <v>63</v>
      </c>
      <c r="H272" s="13">
        <v>3403.96</v>
      </c>
      <c r="I272" s="12" t="str">
        <f t="shared" si="35"/>
        <v>3000=&lt;4000 AZN</v>
      </c>
      <c r="J272" s="13">
        <v>2545.5</v>
      </c>
      <c r="K272" s="12" t="str">
        <f t="shared" si="36"/>
        <v>2000=&lt;3000 AZN</v>
      </c>
      <c r="L272" s="13">
        <f t="shared" si="37"/>
        <v>858.46</v>
      </c>
      <c r="M272" s="52" t="str">
        <f t="shared" si="38"/>
        <v>musbet</v>
      </c>
      <c r="N272" s="19" t="str">
        <f t="shared" si="39"/>
        <v>Pərvinə Cabbarov 27263</v>
      </c>
    </row>
    <row r="273" spans="1:14" ht="14.25" customHeight="1" x14ac:dyDescent="0.25">
      <c r="A273" s="12" t="s">
        <v>316</v>
      </c>
      <c r="B273" s="12" t="s">
        <v>30</v>
      </c>
      <c r="C273" s="14">
        <v>29798</v>
      </c>
      <c r="D273" s="17">
        <f t="shared" si="33"/>
        <v>1981</v>
      </c>
      <c r="E273" s="16">
        <f t="shared" si="32"/>
        <v>44</v>
      </c>
      <c r="F273" s="12" t="str">
        <f t="shared" si="34"/>
        <v>40=&lt;60</v>
      </c>
      <c r="G273" s="12" t="s">
        <v>66</v>
      </c>
      <c r="H273" s="13">
        <v>949.51</v>
      </c>
      <c r="I273" s="12" t="str">
        <f t="shared" si="35"/>
        <v>&lt;1000 AZN</v>
      </c>
      <c r="J273" s="13">
        <v>1224</v>
      </c>
      <c r="K273" s="12" t="str">
        <f t="shared" si="36"/>
        <v>1000=&lt;2000 AZN</v>
      </c>
      <c r="L273" s="13">
        <f t="shared" si="37"/>
        <v>-274.49</v>
      </c>
      <c r="M273" s="52" t="str">
        <f t="shared" si="38"/>
        <v>menfi</v>
      </c>
      <c r="N273" s="19" t="str">
        <f t="shared" si="39"/>
        <v>Polad Bəktaşi 29798</v>
      </c>
    </row>
    <row r="274" spans="1:14" ht="14.25" customHeight="1" x14ac:dyDescent="0.25">
      <c r="A274" s="12" t="s">
        <v>317</v>
      </c>
      <c r="B274" s="12" t="s">
        <v>26</v>
      </c>
      <c r="C274" s="14">
        <v>37035</v>
      </c>
      <c r="D274" s="17">
        <f t="shared" si="33"/>
        <v>2001</v>
      </c>
      <c r="E274" s="16">
        <f t="shared" si="32"/>
        <v>24</v>
      </c>
      <c r="F274" s="12" t="str">
        <f t="shared" si="34"/>
        <v>20=&lt;30</v>
      </c>
      <c r="G274" s="12" t="s">
        <v>40</v>
      </c>
      <c r="H274" s="13">
        <v>2154.3200000000002</v>
      </c>
      <c r="I274" s="12" t="str">
        <f t="shared" si="35"/>
        <v>2000=&lt;3000 AZN</v>
      </c>
      <c r="J274" s="13">
        <v>2208.98</v>
      </c>
      <c r="K274" s="12" t="str">
        <f t="shared" si="36"/>
        <v>2000=&lt;3000 AZN</v>
      </c>
      <c r="L274" s="13">
        <f t="shared" si="37"/>
        <v>-54.659999999999854</v>
      </c>
      <c r="M274" s="52" t="str">
        <f t="shared" si="38"/>
        <v>menfi</v>
      </c>
      <c r="N274" s="19" t="str">
        <f t="shared" si="39"/>
        <v>Əbdül Həsənli 37035</v>
      </c>
    </row>
    <row r="275" spans="1:14" ht="14.25" customHeight="1" x14ac:dyDescent="0.25">
      <c r="A275" s="12" t="s">
        <v>318</v>
      </c>
      <c r="B275" s="12" t="s">
        <v>30</v>
      </c>
      <c r="C275" s="14">
        <v>28694</v>
      </c>
      <c r="D275" s="17">
        <f t="shared" si="33"/>
        <v>1978</v>
      </c>
      <c r="E275" s="16">
        <f t="shared" si="32"/>
        <v>47</v>
      </c>
      <c r="F275" s="12" t="str">
        <f t="shared" si="34"/>
        <v>40=&lt;60</v>
      </c>
      <c r="G275" s="12" t="s">
        <v>60</v>
      </c>
      <c r="H275" s="13">
        <v>1974.32</v>
      </c>
      <c r="I275" s="12" t="str">
        <f t="shared" si="35"/>
        <v>1000=&lt;2000 AZN</v>
      </c>
      <c r="J275" s="13">
        <v>2305.2399999999998</v>
      </c>
      <c r="K275" s="12" t="str">
        <f t="shared" si="36"/>
        <v>2000=&lt;3000 AZN</v>
      </c>
      <c r="L275" s="13">
        <f t="shared" si="37"/>
        <v>-330.91999999999985</v>
      </c>
      <c r="M275" s="52" t="str">
        <f t="shared" si="38"/>
        <v>menfi</v>
      </c>
      <c r="N275" s="19" t="str">
        <f t="shared" si="39"/>
        <v>Natella Bəktaşi 28694</v>
      </c>
    </row>
    <row r="276" spans="1:14" ht="14.25" customHeight="1" x14ac:dyDescent="0.25">
      <c r="A276" s="12" t="s">
        <v>319</v>
      </c>
      <c r="B276" s="12" t="s">
        <v>28</v>
      </c>
      <c r="C276" s="14">
        <v>34443</v>
      </c>
      <c r="D276" s="17">
        <f t="shared" si="33"/>
        <v>1994</v>
      </c>
      <c r="E276" s="16">
        <f t="shared" si="32"/>
        <v>31</v>
      </c>
      <c r="F276" s="12" t="str">
        <f t="shared" si="34"/>
        <v>30=&lt;40</v>
      </c>
      <c r="G276" s="12" t="s">
        <v>49</v>
      </c>
      <c r="H276" s="13">
        <v>1997.82</v>
      </c>
      <c r="I276" s="12" t="str">
        <f t="shared" si="35"/>
        <v>1000=&lt;2000 AZN</v>
      </c>
      <c r="J276" s="13">
        <v>3725.29</v>
      </c>
      <c r="K276" s="12" t="str">
        <f t="shared" si="36"/>
        <v>3000=&lt;4000 AZN</v>
      </c>
      <c r="L276" s="13">
        <f t="shared" si="37"/>
        <v>-1727.47</v>
      </c>
      <c r="M276" s="52" t="str">
        <f t="shared" si="38"/>
        <v>menfi</v>
      </c>
      <c r="N276" s="19" t="str">
        <f t="shared" si="39"/>
        <v>Səmayə Mirzəyev 34443</v>
      </c>
    </row>
    <row r="277" spans="1:14" ht="14.25" customHeight="1" x14ac:dyDescent="0.25">
      <c r="A277" s="12" t="s">
        <v>320</v>
      </c>
      <c r="B277" s="12" t="s">
        <v>28</v>
      </c>
      <c r="C277" s="14">
        <v>33394</v>
      </c>
      <c r="D277" s="17">
        <f t="shared" si="33"/>
        <v>1991</v>
      </c>
      <c r="E277" s="16">
        <f t="shared" si="32"/>
        <v>34</v>
      </c>
      <c r="F277" s="12" t="str">
        <f t="shared" si="34"/>
        <v>30=&lt;40</v>
      </c>
      <c r="G277" s="12" t="s">
        <v>63</v>
      </c>
      <c r="H277" s="13">
        <v>2129.8000000000002</v>
      </c>
      <c r="I277" s="12" t="str">
        <f t="shared" si="35"/>
        <v>2000=&lt;3000 AZN</v>
      </c>
      <c r="J277" s="13">
        <v>3702.88</v>
      </c>
      <c r="K277" s="12" t="str">
        <f t="shared" si="36"/>
        <v>3000=&lt;4000 AZN</v>
      </c>
      <c r="L277" s="13">
        <f t="shared" si="37"/>
        <v>-1573.08</v>
      </c>
      <c r="M277" s="52" t="str">
        <f t="shared" si="38"/>
        <v>menfi</v>
      </c>
      <c r="N277" s="19" t="str">
        <f t="shared" si="39"/>
        <v>Gülçin Mirzəyev 33394</v>
      </c>
    </row>
    <row r="278" spans="1:14" ht="14.25" customHeight="1" x14ac:dyDescent="0.25">
      <c r="A278" s="12" t="s">
        <v>321</v>
      </c>
      <c r="B278" s="12" t="s">
        <v>28</v>
      </c>
      <c r="C278" s="14">
        <v>22710</v>
      </c>
      <c r="D278" s="17">
        <f t="shared" si="33"/>
        <v>1962</v>
      </c>
      <c r="E278" s="16">
        <f t="shared" si="32"/>
        <v>63</v>
      </c>
      <c r="F278" s="12" t="str">
        <f t="shared" si="34"/>
        <v>60=&lt;</v>
      </c>
      <c r="G278" s="12" t="s">
        <v>42</v>
      </c>
      <c r="H278" s="13">
        <v>2836.54</v>
      </c>
      <c r="I278" s="12" t="str">
        <f t="shared" si="35"/>
        <v>2000=&lt;3000 AZN</v>
      </c>
      <c r="J278" s="13">
        <v>4101.8100000000004</v>
      </c>
      <c r="K278" s="12" t="str">
        <f t="shared" si="36"/>
        <v>4000=&lt;5000 AZN</v>
      </c>
      <c r="L278" s="13">
        <f t="shared" si="37"/>
        <v>-1265.2700000000004</v>
      </c>
      <c r="M278" s="52" t="str">
        <f t="shared" si="38"/>
        <v>menfi</v>
      </c>
      <c r="N278" s="19" t="str">
        <f t="shared" si="39"/>
        <v>Elxan Mirzəyev 22710</v>
      </c>
    </row>
    <row r="279" spans="1:14" ht="14.25" customHeight="1" x14ac:dyDescent="0.25">
      <c r="A279" s="12" t="s">
        <v>322</v>
      </c>
      <c r="B279" s="12" t="s">
        <v>28</v>
      </c>
      <c r="C279" s="14">
        <v>33523</v>
      </c>
      <c r="D279" s="17">
        <f t="shared" si="33"/>
        <v>1991</v>
      </c>
      <c r="E279" s="16">
        <f t="shared" si="32"/>
        <v>34</v>
      </c>
      <c r="F279" s="12" t="str">
        <f t="shared" si="34"/>
        <v>30=&lt;40</v>
      </c>
      <c r="G279" s="12" t="s">
        <v>63</v>
      </c>
      <c r="H279" s="13">
        <v>2219.64</v>
      </c>
      <c r="I279" s="12" t="str">
        <f t="shared" si="35"/>
        <v>2000=&lt;3000 AZN</v>
      </c>
      <c r="J279" s="13">
        <v>4089.44</v>
      </c>
      <c r="K279" s="12" t="str">
        <f t="shared" si="36"/>
        <v>4000=&lt;5000 AZN</v>
      </c>
      <c r="L279" s="13">
        <f t="shared" si="37"/>
        <v>-1869.8000000000002</v>
      </c>
      <c r="M279" s="52" t="str">
        <f t="shared" si="38"/>
        <v>menfi</v>
      </c>
      <c r="N279" s="19" t="str">
        <f t="shared" si="39"/>
        <v>Vüqar Mirzəyev 33523</v>
      </c>
    </row>
    <row r="280" spans="1:14" ht="14.25" customHeight="1" x14ac:dyDescent="0.25">
      <c r="A280" s="12" t="s">
        <v>323</v>
      </c>
      <c r="B280" s="12" t="s">
        <v>44</v>
      </c>
      <c r="C280" s="14">
        <v>34413</v>
      </c>
      <c r="D280" s="17">
        <f t="shared" si="33"/>
        <v>1994</v>
      </c>
      <c r="E280" s="16">
        <f t="shared" si="32"/>
        <v>31</v>
      </c>
      <c r="F280" s="12" t="str">
        <f t="shared" si="34"/>
        <v>30=&lt;40</v>
      </c>
      <c r="G280" s="12" t="s">
        <v>58</v>
      </c>
      <c r="H280" s="13">
        <v>459.5</v>
      </c>
      <c r="I280" s="12" t="str">
        <f t="shared" si="35"/>
        <v>&lt;1000 AZN</v>
      </c>
      <c r="J280" s="13">
        <v>901.32</v>
      </c>
      <c r="K280" s="12" t="str">
        <f t="shared" si="36"/>
        <v>&lt;1000 AZN</v>
      </c>
      <c r="L280" s="13">
        <f t="shared" si="37"/>
        <v>-441.82000000000005</v>
      </c>
      <c r="M280" s="52" t="str">
        <f t="shared" si="38"/>
        <v>menfi</v>
      </c>
      <c r="N280" s="19" t="str">
        <f t="shared" si="39"/>
        <v>Elturan Təhmin 34413</v>
      </c>
    </row>
    <row r="281" spans="1:14" ht="14.25" customHeight="1" x14ac:dyDescent="0.25">
      <c r="A281" s="12" t="s">
        <v>324</v>
      </c>
      <c r="B281" s="12" t="s">
        <v>30</v>
      </c>
      <c r="C281" s="14">
        <v>28382</v>
      </c>
      <c r="D281" s="17">
        <f t="shared" si="33"/>
        <v>1977</v>
      </c>
      <c r="E281" s="16">
        <f t="shared" si="32"/>
        <v>48</v>
      </c>
      <c r="F281" s="12" t="str">
        <f t="shared" si="34"/>
        <v>40=&lt;60</v>
      </c>
      <c r="G281" s="12" t="s">
        <v>63</v>
      </c>
      <c r="H281" s="13">
        <v>1506.41</v>
      </c>
      <c r="I281" s="12" t="str">
        <f t="shared" si="35"/>
        <v>1000=&lt;2000 AZN</v>
      </c>
      <c r="J281" s="13">
        <v>3026.29</v>
      </c>
      <c r="K281" s="12" t="str">
        <f t="shared" si="36"/>
        <v>3000=&lt;4000 AZN</v>
      </c>
      <c r="L281" s="13">
        <f t="shared" si="37"/>
        <v>-1519.8799999999999</v>
      </c>
      <c r="M281" s="52" t="str">
        <f t="shared" si="38"/>
        <v>menfi</v>
      </c>
      <c r="N281" s="19" t="str">
        <f t="shared" si="39"/>
        <v>Ruxsarə Bəktaşi 28382</v>
      </c>
    </row>
    <row r="282" spans="1:14" ht="14.25" customHeight="1" x14ac:dyDescent="0.25">
      <c r="A282" s="12" t="s">
        <v>325</v>
      </c>
      <c r="B282" s="12" t="s">
        <v>48</v>
      </c>
      <c r="C282" s="14">
        <v>25025</v>
      </c>
      <c r="D282" s="17">
        <f t="shared" si="33"/>
        <v>1968</v>
      </c>
      <c r="E282" s="16">
        <f t="shared" si="32"/>
        <v>57</v>
      </c>
      <c r="F282" s="12" t="str">
        <f t="shared" si="34"/>
        <v>40=&lt;60</v>
      </c>
      <c r="G282" s="12" t="s">
        <v>66</v>
      </c>
      <c r="H282" s="13">
        <v>621.04</v>
      </c>
      <c r="I282" s="12" t="str">
        <f t="shared" si="35"/>
        <v>&lt;1000 AZN</v>
      </c>
      <c r="J282" s="13">
        <v>1055.17</v>
      </c>
      <c r="K282" s="12" t="str">
        <f t="shared" si="36"/>
        <v>1000=&lt;2000 AZN</v>
      </c>
      <c r="L282" s="13">
        <f t="shared" si="37"/>
        <v>-434.13000000000011</v>
      </c>
      <c r="M282" s="52" t="str">
        <f t="shared" si="38"/>
        <v>menfi</v>
      </c>
      <c r="N282" s="19" t="str">
        <f t="shared" si="39"/>
        <v>İsa Abbasbəyli 25025</v>
      </c>
    </row>
    <row r="283" spans="1:14" ht="14.25" customHeight="1" x14ac:dyDescent="0.25">
      <c r="A283" s="12" t="s">
        <v>326</v>
      </c>
      <c r="B283" s="12" t="s">
        <v>26</v>
      </c>
      <c r="C283" s="14">
        <v>36358</v>
      </c>
      <c r="D283" s="17">
        <f t="shared" si="33"/>
        <v>1999</v>
      </c>
      <c r="E283" s="16">
        <f t="shared" si="32"/>
        <v>26</v>
      </c>
      <c r="F283" s="12" t="str">
        <f t="shared" si="34"/>
        <v>20=&lt;30</v>
      </c>
      <c r="G283" s="12" t="s">
        <v>63</v>
      </c>
      <c r="H283" s="13">
        <v>2285.52</v>
      </c>
      <c r="I283" s="12" t="str">
        <f t="shared" si="35"/>
        <v>2000=&lt;3000 AZN</v>
      </c>
      <c r="J283" s="13">
        <v>1811.27</v>
      </c>
      <c r="K283" s="12" t="str">
        <f t="shared" si="36"/>
        <v>1000=&lt;2000 AZN</v>
      </c>
      <c r="L283" s="13">
        <f t="shared" si="37"/>
        <v>474.25</v>
      </c>
      <c r="M283" s="52" t="str">
        <f t="shared" si="38"/>
        <v>musbet</v>
      </c>
      <c r="N283" s="19" t="str">
        <f t="shared" si="39"/>
        <v>Nazlı Həsənli 36358</v>
      </c>
    </row>
    <row r="284" spans="1:14" ht="14.25" customHeight="1" x14ac:dyDescent="0.25">
      <c r="A284" s="12" t="s">
        <v>327</v>
      </c>
      <c r="B284" s="12" t="s">
        <v>30</v>
      </c>
      <c r="C284" s="14">
        <v>28199</v>
      </c>
      <c r="D284" s="17">
        <f t="shared" si="33"/>
        <v>1977</v>
      </c>
      <c r="E284" s="16">
        <f t="shared" si="32"/>
        <v>48</v>
      </c>
      <c r="F284" s="12" t="str">
        <f t="shared" si="34"/>
        <v>40=&lt;60</v>
      </c>
      <c r="G284" s="12" t="s">
        <v>49</v>
      </c>
      <c r="H284" s="13">
        <v>1917.64</v>
      </c>
      <c r="I284" s="12" t="str">
        <f t="shared" si="35"/>
        <v>1000=&lt;2000 AZN</v>
      </c>
      <c r="J284" s="13">
        <v>2389.4</v>
      </c>
      <c r="K284" s="12" t="str">
        <f t="shared" si="36"/>
        <v>2000=&lt;3000 AZN</v>
      </c>
      <c r="L284" s="13">
        <f t="shared" si="37"/>
        <v>-471.76</v>
      </c>
      <c r="M284" s="52" t="str">
        <f t="shared" si="38"/>
        <v>menfi</v>
      </c>
      <c r="N284" s="19" t="str">
        <f t="shared" si="39"/>
        <v>Çinarə Bəktaşi 28199</v>
      </c>
    </row>
    <row r="285" spans="1:14" ht="14.25" customHeight="1" x14ac:dyDescent="0.25">
      <c r="A285" s="12" t="s">
        <v>328</v>
      </c>
      <c r="B285" s="12" t="s">
        <v>39</v>
      </c>
      <c r="C285" s="14">
        <v>26391</v>
      </c>
      <c r="D285" s="17">
        <f t="shared" si="33"/>
        <v>1972</v>
      </c>
      <c r="E285" s="16">
        <f t="shared" si="32"/>
        <v>53</v>
      </c>
      <c r="F285" s="12" t="str">
        <f t="shared" si="34"/>
        <v>40=&lt;60</v>
      </c>
      <c r="G285" s="12" t="s">
        <v>49</v>
      </c>
      <c r="H285" s="13">
        <v>2037.99</v>
      </c>
      <c r="I285" s="12" t="str">
        <f t="shared" si="35"/>
        <v>2000=&lt;3000 AZN</v>
      </c>
      <c r="J285" s="13">
        <v>4734.34</v>
      </c>
      <c r="K285" s="12" t="str">
        <f t="shared" si="36"/>
        <v>4000=&lt;5000 AZN</v>
      </c>
      <c r="L285" s="13">
        <f t="shared" si="37"/>
        <v>-2696.3500000000004</v>
      </c>
      <c r="M285" s="52" t="str">
        <f t="shared" si="38"/>
        <v>menfi</v>
      </c>
      <c r="N285" s="19" t="str">
        <f t="shared" si="39"/>
        <v>Narıngül Düzgün 26391</v>
      </c>
    </row>
    <row r="286" spans="1:14" ht="14.25" customHeight="1" x14ac:dyDescent="0.25">
      <c r="A286" s="12" t="s">
        <v>329</v>
      </c>
      <c r="B286" s="12" t="s">
        <v>65</v>
      </c>
      <c r="C286" s="14">
        <v>28609</v>
      </c>
      <c r="D286" s="17">
        <f t="shared" si="33"/>
        <v>1978</v>
      </c>
      <c r="E286" s="16">
        <f t="shared" si="32"/>
        <v>47</v>
      </c>
      <c r="F286" s="12" t="str">
        <f t="shared" si="34"/>
        <v>40=&lt;60</v>
      </c>
      <c r="G286" s="12" t="s">
        <v>51</v>
      </c>
      <c r="H286" s="13">
        <v>4514.59</v>
      </c>
      <c r="I286" s="12" t="str">
        <f t="shared" si="35"/>
        <v>4000=&lt;5000 AZN</v>
      </c>
      <c r="J286" s="13">
        <v>1465.71</v>
      </c>
      <c r="K286" s="12" t="str">
        <f t="shared" si="36"/>
        <v>1000=&lt;2000 AZN</v>
      </c>
      <c r="L286" s="13">
        <f t="shared" si="37"/>
        <v>3048.88</v>
      </c>
      <c r="M286" s="52" t="str">
        <f t="shared" si="38"/>
        <v>musbet</v>
      </c>
      <c r="N286" s="19" t="str">
        <f t="shared" si="39"/>
        <v>Səbirə Cabbarov 28609</v>
      </c>
    </row>
    <row r="287" spans="1:14" ht="14.25" customHeight="1" x14ac:dyDescent="0.25">
      <c r="A287" s="12" t="s">
        <v>330</v>
      </c>
      <c r="B287" s="12" t="s">
        <v>30</v>
      </c>
      <c r="C287" s="14">
        <v>23234</v>
      </c>
      <c r="D287" s="17">
        <f t="shared" si="33"/>
        <v>1963</v>
      </c>
      <c r="E287" s="16">
        <f t="shared" si="32"/>
        <v>62</v>
      </c>
      <c r="F287" s="12" t="str">
        <f t="shared" si="34"/>
        <v>60=&lt;</v>
      </c>
      <c r="G287" s="12" t="s">
        <v>53</v>
      </c>
      <c r="H287" s="13">
        <v>3847.92</v>
      </c>
      <c r="I287" s="12" t="str">
        <f t="shared" si="35"/>
        <v>3000=&lt;4000 AZN</v>
      </c>
      <c r="J287" s="13">
        <v>2872.04</v>
      </c>
      <c r="K287" s="12" t="str">
        <f t="shared" si="36"/>
        <v>2000=&lt;3000 AZN</v>
      </c>
      <c r="L287" s="13">
        <f t="shared" si="37"/>
        <v>975.88000000000011</v>
      </c>
      <c r="M287" s="52" t="str">
        <f t="shared" si="38"/>
        <v>musbet</v>
      </c>
      <c r="N287" s="19" t="str">
        <f t="shared" si="39"/>
        <v>Toğrul Bəktaşi 23234</v>
      </c>
    </row>
    <row r="288" spans="1:14" ht="14.25" customHeight="1" x14ac:dyDescent="0.25">
      <c r="A288" s="12" t="s">
        <v>331</v>
      </c>
      <c r="B288" s="12" t="s">
        <v>30</v>
      </c>
      <c r="C288" s="14">
        <v>37575</v>
      </c>
      <c r="D288" s="17">
        <f t="shared" si="33"/>
        <v>2002</v>
      </c>
      <c r="E288" s="16">
        <f t="shared" si="32"/>
        <v>23</v>
      </c>
      <c r="F288" s="12" t="str">
        <f t="shared" si="34"/>
        <v>20=&lt;30</v>
      </c>
      <c r="G288" s="12" t="s">
        <v>40</v>
      </c>
      <c r="H288" s="13">
        <v>1839.99</v>
      </c>
      <c r="I288" s="12" t="str">
        <f t="shared" si="35"/>
        <v>1000=&lt;2000 AZN</v>
      </c>
      <c r="J288" s="13">
        <v>987.92</v>
      </c>
      <c r="K288" s="12" t="str">
        <f t="shared" si="36"/>
        <v>&lt;1000 AZN</v>
      </c>
      <c r="L288" s="13">
        <f t="shared" si="37"/>
        <v>852.07</v>
      </c>
      <c r="M288" s="52" t="str">
        <f t="shared" si="38"/>
        <v>musbet</v>
      </c>
      <c r="N288" s="19" t="str">
        <f t="shared" si="39"/>
        <v>Xudaverdi Bəktaşi 37575</v>
      </c>
    </row>
    <row r="289" spans="1:14" ht="14.25" customHeight="1" x14ac:dyDescent="0.25">
      <c r="A289" s="12" t="s">
        <v>332</v>
      </c>
      <c r="B289" s="12" t="s">
        <v>39</v>
      </c>
      <c r="C289" s="14">
        <v>32972</v>
      </c>
      <c r="D289" s="17">
        <f t="shared" si="33"/>
        <v>1990</v>
      </c>
      <c r="E289" s="16">
        <f t="shared" si="32"/>
        <v>35</v>
      </c>
      <c r="F289" s="12" t="str">
        <f t="shared" si="34"/>
        <v>30=&lt;40</v>
      </c>
      <c r="G289" s="12" t="s">
        <v>63</v>
      </c>
      <c r="H289" s="13">
        <v>2736.61</v>
      </c>
      <c r="I289" s="12" t="str">
        <f t="shared" si="35"/>
        <v>2000=&lt;3000 AZN</v>
      </c>
      <c r="J289" s="13">
        <v>3456.54</v>
      </c>
      <c r="K289" s="12" t="str">
        <f t="shared" si="36"/>
        <v>3000=&lt;4000 AZN</v>
      </c>
      <c r="L289" s="13">
        <f t="shared" si="37"/>
        <v>-719.92999999999984</v>
      </c>
      <c r="M289" s="52" t="str">
        <f t="shared" si="38"/>
        <v>menfi</v>
      </c>
      <c r="N289" s="19" t="str">
        <f t="shared" si="39"/>
        <v>Xankişi Düzgün 32972</v>
      </c>
    </row>
    <row r="290" spans="1:14" ht="14.25" customHeight="1" x14ac:dyDescent="0.25">
      <c r="A290" s="12" t="s">
        <v>333</v>
      </c>
      <c r="B290" s="12" t="s">
        <v>27</v>
      </c>
      <c r="C290" s="14">
        <v>24419</v>
      </c>
      <c r="D290" s="17">
        <f t="shared" si="33"/>
        <v>1966</v>
      </c>
      <c r="E290" s="16">
        <f t="shared" si="32"/>
        <v>59</v>
      </c>
      <c r="F290" s="12" t="str">
        <f t="shared" si="34"/>
        <v>40=&lt;60</v>
      </c>
      <c r="G290" s="12" t="s">
        <v>42</v>
      </c>
      <c r="H290" s="13">
        <v>2244.62</v>
      </c>
      <c r="I290" s="12" t="str">
        <f t="shared" si="35"/>
        <v>2000=&lt;3000 AZN</v>
      </c>
      <c r="J290" s="13">
        <v>3803.49</v>
      </c>
      <c r="K290" s="12" t="str">
        <f t="shared" si="36"/>
        <v>3000=&lt;4000 AZN</v>
      </c>
      <c r="L290" s="13">
        <f t="shared" si="37"/>
        <v>-1558.87</v>
      </c>
      <c r="M290" s="52" t="str">
        <f t="shared" si="38"/>
        <v>menfi</v>
      </c>
      <c r="N290" s="19" t="str">
        <f t="shared" si="39"/>
        <v>Bəkir Vurğun 24419</v>
      </c>
    </row>
    <row r="291" spans="1:14" ht="14.25" customHeight="1" x14ac:dyDescent="0.25">
      <c r="A291" s="12" t="s">
        <v>334</v>
      </c>
      <c r="B291" s="12" t="s">
        <v>29</v>
      </c>
      <c r="C291" s="14">
        <v>28294</v>
      </c>
      <c r="D291" s="17">
        <f t="shared" si="33"/>
        <v>1977</v>
      </c>
      <c r="E291" s="16">
        <f t="shared" si="32"/>
        <v>48</v>
      </c>
      <c r="F291" s="12" t="str">
        <f t="shared" si="34"/>
        <v>40=&lt;60</v>
      </c>
      <c r="G291" s="12" t="s">
        <v>63</v>
      </c>
      <c r="H291" s="13">
        <v>1014.07</v>
      </c>
      <c r="I291" s="12" t="str">
        <f t="shared" si="35"/>
        <v>1000=&lt;2000 AZN</v>
      </c>
      <c r="J291" s="13">
        <v>390.32</v>
      </c>
      <c r="K291" s="12" t="str">
        <f t="shared" si="36"/>
        <v>&lt;1000 AZN</v>
      </c>
      <c r="L291" s="13">
        <f t="shared" si="37"/>
        <v>623.75</v>
      </c>
      <c r="M291" s="52" t="str">
        <f t="shared" si="38"/>
        <v>musbet</v>
      </c>
      <c r="N291" s="19" t="str">
        <f t="shared" si="39"/>
        <v>İlnarə Bayramov 28294</v>
      </c>
    </row>
    <row r="292" spans="1:14" ht="14.25" customHeight="1" x14ac:dyDescent="0.25">
      <c r="A292" s="12" t="s">
        <v>335</v>
      </c>
      <c r="B292" s="12" t="s">
        <v>39</v>
      </c>
      <c r="C292" s="14">
        <v>35614</v>
      </c>
      <c r="D292" s="17">
        <f t="shared" si="33"/>
        <v>1997</v>
      </c>
      <c r="E292" s="16">
        <f t="shared" si="32"/>
        <v>28</v>
      </c>
      <c r="F292" s="12" t="str">
        <f t="shared" si="34"/>
        <v>20=&lt;30</v>
      </c>
      <c r="G292" s="12" t="s">
        <v>66</v>
      </c>
      <c r="H292" s="13">
        <v>3039.59</v>
      </c>
      <c r="I292" s="12" t="str">
        <f t="shared" si="35"/>
        <v>3000=&lt;4000 AZN</v>
      </c>
      <c r="J292" s="13">
        <v>319.27</v>
      </c>
      <c r="K292" s="12" t="str">
        <f t="shared" si="36"/>
        <v>&lt;1000 AZN</v>
      </c>
      <c r="L292" s="13">
        <f t="shared" si="37"/>
        <v>2720.32</v>
      </c>
      <c r="M292" s="52" t="str">
        <f t="shared" si="38"/>
        <v>musbet</v>
      </c>
      <c r="N292" s="19" t="str">
        <f t="shared" si="39"/>
        <v>Mahirə Düzgün 35614</v>
      </c>
    </row>
    <row r="293" spans="1:14" ht="14.25" customHeight="1" x14ac:dyDescent="0.25">
      <c r="A293" s="12" t="s">
        <v>336</v>
      </c>
      <c r="B293" s="12" t="s">
        <v>27</v>
      </c>
      <c r="C293" s="14">
        <v>35298</v>
      </c>
      <c r="D293" s="17">
        <f t="shared" si="33"/>
        <v>1996</v>
      </c>
      <c r="E293" s="16">
        <f t="shared" si="32"/>
        <v>29</v>
      </c>
      <c r="F293" s="12" t="str">
        <f t="shared" si="34"/>
        <v>20=&lt;30</v>
      </c>
      <c r="G293" s="12" t="s">
        <v>60</v>
      </c>
      <c r="H293" s="13">
        <v>4312.28</v>
      </c>
      <c r="I293" s="12" t="str">
        <f t="shared" si="35"/>
        <v>4000=&lt;5000 AZN</v>
      </c>
      <c r="J293" s="13">
        <v>704.15</v>
      </c>
      <c r="K293" s="12" t="str">
        <f t="shared" si="36"/>
        <v>&lt;1000 AZN</v>
      </c>
      <c r="L293" s="13">
        <f t="shared" si="37"/>
        <v>3608.1299999999997</v>
      </c>
      <c r="M293" s="52" t="str">
        <f t="shared" si="38"/>
        <v>musbet</v>
      </c>
      <c r="N293" s="19" t="str">
        <f t="shared" si="39"/>
        <v>Nicat Vurğun 35298</v>
      </c>
    </row>
    <row r="294" spans="1:14" ht="14.25" customHeight="1" x14ac:dyDescent="0.25">
      <c r="A294" s="12" t="s">
        <v>337</v>
      </c>
      <c r="B294" s="12" t="s">
        <v>29</v>
      </c>
      <c r="C294" s="14">
        <v>26954</v>
      </c>
      <c r="D294" s="17">
        <f t="shared" si="33"/>
        <v>1973</v>
      </c>
      <c r="E294" s="16">
        <f t="shared" si="32"/>
        <v>52</v>
      </c>
      <c r="F294" s="12" t="str">
        <f t="shared" si="34"/>
        <v>40=&lt;60</v>
      </c>
      <c r="G294" s="12" t="s">
        <v>40</v>
      </c>
      <c r="H294" s="13">
        <v>3700.96</v>
      </c>
      <c r="I294" s="12" t="str">
        <f t="shared" si="35"/>
        <v>3000=&lt;4000 AZN</v>
      </c>
      <c r="J294" s="13">
        <v>3770.64</v>
      </c>
      <c r="K294" s="12" t="str">
        <f t="shared" si="36"/>
        <v>3000=&lt;4000 AZN</v>
      </c>
      <c r="L294" s="13">
        <f t="shared" si="37"/>
        <v>-69.679999999999836</v>
      </c>
      <c r="M294" s="52" t="str">
        <f t="shared" si="38"/>
        <v>menfi</v>
      </c>
      <c r="N294" s="19" t="str">
        <f t="shared" si="39"/>
        <v>Şahlar Bayramov 26954</v>
      </c>
    </row>
    <row r="295" spans="1:14" ht="14.25" customHeight="1" x14ac:dyDescent="0.25">
      <c r="A295" s="12" t="s">
        <v>338</v>
      </c>
      <c r="B295" s="12" t="s">
        <v>27</v>
      </c>
      <c r="C295" s="14">
        <v>36757</v>
      </c>
      <c r="D295" s="17">
        <f t="shared" si="33"/>
        <v>2000</v>
      </c>
      <c r="E295" s="16">
        <f t="shared" si="32"/>
        <v>25</v>
      </c>
      <c r="F295" s="12" t="str">
        <f t="shared" si="34"/>
        <v>20=&lt;30</v>
      </c>
      <c r="G295" s="12" t="s">
        <v>40</v>
      </c>
      <c r="H295" s="13">
        <v>1428.29</v>
      </c>
      <c r="I295" s="12" t="str">
        <f t="shared" si="35"/>
        <v>1000=&lt;2000 AZN</v>
      </c>
      <c r="J295" s="13">
        <v>4521.34</v>
      </c>
      <c r="K295" s="12" t="str">
        <f t="shared" si="36"/>
        <v>4000=&lt;5000 AZN</v>
      </c>
      <c r="L295" s="13">
        <f t="shared" si="37"/>
        <v>-3093.05</v>
      </c>
      <c r="M295" s="52" t="str">
        <f t="shared" si="38"/>
        <v>menfi</v>
      </c>
      <c r="N295" s="19" t="str">
        <f t="shared" si="39"/>
        <v>Mikayıl Vurğun 36757</v>
      </c>
    </row>
    <row r="296" spans="1:14" ht="14.25" customHeight="1" x14ac:dyDescent="0.25">
      <c r="A296" s="12" t="s">
        <v>339</v>
      </c>
      <c r="B296" s="12" t="s">
        <v>29</v>
      </c>
      <c r="C296" s="14">
        <v>30801</v>
      </c>
      <c r="D296" s="17">
        <f t="shared" si="33"/>
        <v>1984</v>
      </c>
      <c r="E296" s="16">
        <f t="shared" si="32"/>
        <v>41</v>
      </c>
      <c r="F296" s="12" t="str">
        <f t="shared" si="34"/>
        <v>40=&lt;60</v>
      </c>
      <c r="G296" s="12" t="s">
        <v>58</v>
      </c>
      <c r="H296" s="13">
        <v>2652.61</v>
      </c>
      <c r="I296" s="12" t="str">
        <f t="shared" si="35"/>
        <v>2000=&lt;3000 AZN</v>
      </c>
      <c r="J296" s="13">
        <v>4094.94</v>
      </c>
      <c r="K296" s="12" t="str">
        <f t="shared" si="36"/>
        <v>4000=&lt;5000 AZN</v>
      </c>
      <c r="L296" s="13">
        <f t="shared" si="37"/>
        <v>-1442.33</v>
      </c>
      <c r="M296" s="52" t="str">
        <f t="shared" si="38"/>
        <v>menfi</v>
      </c>
      <c r="N296" s="19" t="str">
        <f t="shared" si="39"/>
        <v>Nazim Bayramov 30801</v>
      </c>
    </row>
    <row r="297" spans="1:14" ht="14.25" customHeight="1" x14ac:dyDescent="0.25">
      <c r="A297" s="12" t="s">
        <v>340</v>
      </c>
      <c r="B297" s="12" t="s">
        <v>39</v>
      </c>
      <c r="C297" s="14">
        <v>28596</v>
      </c>
      <c r="D297" s="17">
        <f t="shared" si="33"/>
        <v>1978</v>
      </c>
      <c r="E297" s="16">
        <f t="shared" si="32"/>
        <v>47</v>
      </c>
      <c r="F297" s="12" t="str">
        <f t="shared" si="34"/>
        <v>40=&lt;60</v>
      </c>
      <c r="G297" s="12" t="s">
        <v>42</v>
      </c>
      <c r="H297" s="13">
        <v>1761.85</v>
      </c>
      <c r="I297" s="12" t="str">
        <f t="shared" si="35"/>
        <v>1000=&lt;2000 AZN</v>
      </c>
      <c r="J297" s="13">
        <v>525.29999999999995</v>
      </c>
      <c r="K297" s="12" t="str">
        <f t="shared" si="36"/>
        <v>&lt;1000 AZN</v>
      </c>
      <c r="L297" s="13">
        <f t="shared" si="37"/>
        <v>1236.55</v>
      </c>
      <c r="M297" s="52" t="str">
        <f t="shared" si="38"/>
        <v>musbet</v>
      </c>
      <c r="N297" s="19" t="str">
        <f t="shared" si="39"/>
        <v>Roman Düzgün 28596</v>
      </c>
    </row>
    <row r="298" spans="1:14" ht="14.25" customHeight="1" x14ac:dyDescent="0.25">
      <c r="A298" s="12" t="s">
        <v>341</v>
      </c>
      <c r="B298" s="12" t="s">
        <v>44</v>
      </c>
      <c r="C298" s="14">
        <v>27889</v>
      </c>
      <c r="D298" s="17">
        <f t="shared" si="33"/>
        <v>1976</v>
      </c>
      <c r="E298" s="16">
        <f t="shared" si="32"/>
        <v>49</v>
      </c>
      <c r="F298" s="12" t="str">
        <f t="shared" si="34"/>
        <v>40=&lt;60</v>
      </c>
      <c r="G298" s="12" t="s">
        <v>45</v>
      </c>
      <c r="H298" s="13">
        <v>3113.89</v>
      </c>
      <c r="I298" s="12" t="str">
        <f t="shared" si="35"/>
        <v>3000=&lt;4000 AZN</v>
      </c>
      <c r="J298" s="13">
        <v>2093.85</v>
      </c>
      <c r="K298" s="12" t="str">
        <f t="shared" si="36"/>
        <v>2000=&lt;3000 AZN</v>
      </c>
      <c r="L298" s="13">
        <f t="shared" si="37"/>
        <v>1020.04</v>
      </c>
      <c r="M298" s="52" t="str">
        <f t="shared" si="38"/>
        <v>musbet</v>
      </c>
      <c r="N298" s="19" t="str">
        <f t="shared" si="39"/>
        <v>Aynur Təhmin 27889</v>
      </c>
    </row>
    <row r="299" spans="1:14" ht="14.25" customHeight="1" x14ac:dyDescent="0.25">
      <c r="A299" s="12" t="s">
        <v>342</v>
      </c>
      <c r="B299" s="12" t="s">
        <v>27</v>
      </c>
      <c r="C299" s="14">
        <v>24289</v>
      </c>
      <c r="D299" s="17">
        <f t="shared" si="33"/>
        <v>1966</v>
      </c>
      <c r="E299" s="16">
        <f t="shared" si="32"/>
        <v>59</v>
      </c>
      <c r="F299" s="12" t="str">
        <f t="shared" si="34"/>
        <v>40=&lt;60</v>
      </c>
      <c r="G299" s="12" t="s">
        <v>40</v>
      </c>
      <c r="H299" s="13">
        <v>4610.87</v>
      </c>
      <c r="I299" s="12" t="str">
        <f t="shared" si="35"/>
        <v>4000=&lt;5000 AZN</v>
      </c>
      <c r="J299" s="13">
        <v>3405.05</v>
      </c>
      <c r="K299" s="12" t="str">
        <f t="shared" si="36"/>
        <v>3000=&lt;4000 AZN</v>
      </c>
      <c r="L299" s="13">
        <f t="shared" si="37"/>
        <v>1205.8199999999997</v>
      </c>
      <c r="M299" s="52" t="str">
        <f t="shared" si="38"/>
        <v>musbet</v>
      </c>
      <c r="N299" s="19" t="str">
        <f t="shared" si="39"/>
        <v>Fizzə Vurğun 24289</v>
      </c>
    </row>
    <row r="300" spans="1:14" ht="14.25" customHeight="1" x14ac:dyDescent="0.25">
      <c r="A300" s="12" t="s">
        <v>343</v>
      </c>
      <c r="B300" s="12" t="s">
        <v>44</v>
      </c>
      <c r="C300" s="14">
        <v>32159</v>
      </c>
      <c r="D300" s="17">
        <f t="shared" si="33"/>
        <v>1988</v>
      </c>
      <c r="E300" s="16">
        <f t="shared" si="32"/>
        <v>37</v>
      </c>
      <c r="F300" s="12" t="str">
        <f t="shared" si="34"/>
        <v>30=&lt;40</v>
      </c>
      <c r="G300" s="12" t="s">
        <v>42</v>
      </c>
      <c r="H300" s="13">
        <v>1029.73</v>
      </c>
      <c r="I300" s="12" t="str">
        <f t="shared" si="35"/>
        <v>1000=&lt;2000 AZN</v>
      </c>
      <c r="J300" s="13">
        <v>2097.62</v>
      </c>
      <c r="K300" s="12" t="str">
        <f t="shared" si="36"/>
        <v>2000=&lt;3000 AZN</v>
      </c>
      <c r="L300" s="13">
        <f t="shared" si="37"/>
        <v>-1067.8899999999999</v>
      </c>
      <c r="M300" s="52" t="str">
        <f t="shared" si="38"/>
        <v>menfi</v>
      </c>
      <c r="N300" s="19" t="str">
        <f t="shared" si="39"/>
        <v>Rübabə Təhmin 32159</v>
      </c>
    </row>
    <row r="301" spans="1:14" ht="14.25" customHeight="1" x14ac:dyDescent="0.25">
      <c r="A301" s="12" t="s">
        <v>344</v>
      </c>
      <c r="B301" s="12" t="s">
        <v>56</v>
      </c>
      <c r="C301" s="14">
        <v>31797</v>
      </c>
      <c r="D301" s="17">
        <f t="shared" si="33"/>
        <v>1987</v>
      </c>
      <c r="E301" s="16">
        <f t="shared" si="32"/>
        <v>38</v>
      </c>
      <c r="F301" s="12" t="str">
        <f t="shared" si="34"/>
        <v>30=&lt;40</v>
      </c>
      <c r="G301" s="12" t="s">
        <v>63</v>
      </c>
      <c r="H301" s="13">
        <v>3599.66</v>
      </c>
      <c r="I301" s="12" t="str">
        <f t="shared" si="35"/>
        <v>3000=&lt;4000 AZN</v>
      </c>
      <c r="J301" s="13">
        <v>3601.73</v>
      </c>
      <c r="K301" s="12" t="str">
        <f t="shared" si="36"/>
        <v>3000=&lt;4000 AZN</v>
      </c>
      <c r="L301" s="13">
        <f t="shared" si="37"/>
        <v>-2.0700000000001637</v>
      </c>
      <c r="M301" s="52" t="str">
        <f t="shared" si="38"/>
        <v>menfi</v>
      </c>
      <c r="N301" s="19" t="str">
        <f t="shared" si="39"/>
        <v>Səma Talıbzadə 31797</v>
      </c>
    </row>
    <row r="302" spans="1:14" ht="14.25" customHeight="1" x14ac:dyDescent="0.25">
      <c r="A302" s="12" t="s">
        <v>345</v>
      </c>
      <c r="B302" s="12" t="s">
        <v>27</v>
      </c>
      <c r="C302" s="14">
        <v>35480</v>
      </c>
      <c r="D302" s="17">
        <f t="shared" si="33"/>
        <v>1997</v>
      </c>
      <c r="E302" s="16">
        <f t="shared" si="32"/>
        <v>28</v>
      </c>
      <c r="F302" s="12" t="str">
        <f t="shared" si="34"/>
        <v>20=&lt;30</v>
      </c>
      <c r="G302" s="12" t="s">
        <v>45</v>
      </c>
      <c r="H302" s="13">
        <v>3589.52</v>
      </c>
      <c r="I302" s="12" t="str">
        <f t="shared" si="35"/>
        <v>3000=&lt;4000 AZN</v>
      </c>
      <c r="J302" s="13">
        <v>3025.65</v>
      </c>
      <c r="K302" s="12" t="str">
        <f t="shared" si="36"/>
        <v>3000=&lt;4000 AZN</v>
      </c>
      <c r="L302" s="13">
        <f t="shared" si="37"/>
        <v>563.86999999999989</v>
      </c>
      <c r="M302" s="52" t="str">
        <f t="shared" si="38"/>
        <v>musbet</v>
      </c>
      <c r="N302" s="19" t="str">
        <f t="shared" si="39"/>
        <v>Əkbər Vurğun 35480</v>
      </c>
    </row>
    <row r="303" spans="1:14" ht="14.25" customHeight="1" x14ac:dyDescent="0.25">
      <c r="A303" s="12" t="s">
        <v>346</v>
      </c>
      <c r="B303" s="12" t="s">
        <v>30</v>
      </c>
      <c r="C303" s="14">
        <v>25062</v>
      </c>
      <c r="D303" s="17">
        <f t="shared" si="33"/>
        <v>1968</v>
      </c>
      <c r="E303" s="16">
        <f t="shared" si="32"/>
        <v>57</v>
      </c>
      <c r="F303" s="12" t="str">
        <f t="shared" si="34"/>
        <v>40=&lt;60</v>
      </c>
      <c r="G303" s="12" t="s">
        <v>45</v>
      </c>
      <c r="H303" s="13">
        <v>1712.37</v>
      </c>
      <c r="I303" s="12" t="str">
        <f t="shared" si="35"/>
        <v>1000=&lt;2000 AZN</v>
      </c>
      <c r="J303" s="13">
        <v>4093.36</v>
      </c>
      <c r="K303" s="12" t="str">
        <f t="shared" si="36"/>
        <v>4000=&lt;5000 AZN</v>
      </c>
      <c r="L303" s="13">
        <f t="shared" si="37"/>
        <v>-2380.9900000000002</v>
      </c>
      <c r="M303" s="52" t="str">
        <f t="shared" si="38"/>
        <v>menfi</v>
      </c>
      <c r="N303" s="19" t="str">
        <f t="shared" si="39"/>
        <v>Ağamalı Bəktaşi 25062</v>
      </c>
    </row>
    <row r="304" spans="1:14" ht="14.25" customHeight="1" x14ac:dyDescent="0.25">
      <c r="A304" s="12" t="s">
        <v>347</v>
      </c>
      <c r="B304" s="12" t="s">
        <v>29</v>
      </c>
      <c r="C304" s="14">
        <v>23193</v>
      </c>
      <c r="D304" s="17">
        <f t="shared" si="33"/>
        <v>1963</v>
      </c>
      <c r="E304" s="16">
        <f t="shared" si="32"/>
        <v>62</v>
      </c>
      <c r="F304" s="12" t="str">
        <f t="shared" si="34"/>
        <v>60=&lt;</v>
      </c>
      <c r="G304" s="12" t="s">
        <v>58</v>
      </c>
      <c r="H304" s="13">
        <v>538.75</v>
      </c>
      <c r="I304" s="12" t="str">
        <f t="shared" si="35"/>
        <v>&lt;1000 AZN</v>
      </c>
      <c r="J304" s="13">
        <v>1285.53</v>
      </c>
      <c r="K304" s="12" t="str">
        <f t="shared" si="36"/>
        <v>1000=&lt;2000 AZN</v>
      </c>
      <c r="L304" s="13">
        <f t="shared" si="37"/>
        <v>-746.78</v>
      </c>
      <c r="M304" s="52" t="str">
        <f t="shared" si="38"/>
        <v>menfi</v>
      </c>
      <c r="N304" s="19" t="str">
        <f t="shared" si="39"/>
        <v>Dönməz Bayramov 23193</v>
      </c>
    </row>
    <row r="305" spans="1:14" ht="14.25" customHeight="1" x14ac:dyDescent="0.25">
      <c r="A305" s="12" t="s">
        <v>348</v>
      </c>
      <c r="B305" s="12" t="s">
        <v>56</v>
      </c>
      <c r="C305" s="14">
        <v>34900</v>
      </c>
      <c r="D305" s="17">
        <f t="shared" si="33"/>
        <v>1995</v>
      </c>
      <c r="E305" s="16">
        <f t="shared" si="32"/>
        <v>30</v>
      </c>
      <c r="F305" s="12" t="str">
        <f t="shared" si="34"/>
        <v>30=&lt;40</v>
      </c>
      <c r="G305" s="12" t="s">
        <v>40</v>
      </c>
      <c r="H305" s="13">
        <v>3609.05</v>
      </c>
      <c r="I305" s="12" t="str">
        <f t="shared" si="35"/>
        <v>3000=&lt;4000 AZN</v>
      </c>
      <c r="J305" s="13">
        <v>4261.84</v>
      </c>
      <c r="K305" s="12" t="str">
        <f t="shared" si="36"/>
        <v>4000=&lt;5000 AZN</v>
      </c>
      <c r="L305" s="13">
        <f t="shared" si="37"/>
        <v>-652.79</v>
      </c>
      <c r="M305" s="52" t="str">
        <f t="shared" si="38"/>
        <v>menfi</v>
      </c>
      <c r="N305" s="19" t="str">
        <f t="shared" si="39"/>
        <v>Brilyant Talıbzadə 34900</v>
      </c>
    </row>
    <row r="306" spans="1:14" ht="14.25" customHeight="1" x14ac:dyDescent="0.25">
      <c r="A306" s="12" t="s">
        <v>349</v>
      </c>
      <c r="B306" s="12" t="s">
        <v>27</v>
      </c>
      <c r="C306" s="14">
        <v>34665</v>
      </c>
      <c r="D306" s="17">
        <f t="shared" si="33"/>
        <v>1994</v>
      </c>
      <c r="E306" s="16">
        <f t="shared" si="32"/>
        <v>31</v>
      </c>
      <c r="F306" s="12" t="str">
        <f t="shared" si="34"/>
        <v>30=&lt;40</v>
      </c>
      <c r="G306" s="12" t="s">
        <v>66</v>
      </c>
      <c r="H306" s="13">
        <v>4392.68</v>
      </c>
      <c r="I306" s="12" t="str">
        <f t="shared" si="35"/>
        <v>4000=&lt;5000 AZN</v>
      </c>
      <c r="J306" s="13">
        <v>4727.58</v>
      </c>
      <c r="K306" s="12" t="str">
        <f t="shared" si="36"/>
        <v>4000=&lt;5000 AZN</v>
      </c>
      <c r="L306" s="13">
        <f t="shared" si="37"/>
        <v>-334.89999999999964</v>
      </c>
      <c r="M306" s="52" t="str">
        <f t="shared" si="38"/>
        <v>menfi</v>
      </c>
      <c r="N306" s="19" t="str">
        <f t="shared" si="39"/>
        <v>Niyazi Vurğun 34665</v>
      </c>
    </row>
    <row r="307" spans="1:14" ht="14.25" customHeight="1" x14ac:dyDescent="0.25">
      <c r="A307" s="12" t="s">
        <v>350</v>
      </c>
      <c r="B307" s="12" t="s">
        <v>39</v>
      </c>
      <c r="C307" s="14">
        <v>29169</v>
      </c>
      <c r="D307" s="17">
        <f t="shared" si="33"/>
        <v>1979</v>
      </c>
      <c r="E307" s="16">
        <f t="shared" si="32"/>
        <v>46</v>
      </c>
      <c r="F307" s="12" t="str">
        <f t="shared" si="34"/>
        <v>40=&lt;60</v>
      </c>
      <c r="G307" s="12" t="s">
        <v>42</v>
      </c>
      <c r="H307" s="13">
        <v>4807.42</v>
      </c>
      <c r="I307" s="12" t="str">
        <f t="shared" si="35"/>
        <v>4000=&lt;5000 AZN</v>
      </c>
      <c r="J307" s="13">
        <v>514.22</v>
      </c>
      <c r="K307" s="12" t="str">
        <f t="shared" si="36"/>
        <v>&lt;1000 AZN</v>
      </c>
      <c r="L307" s="13">
        <f t="shared" si="37"/>
        <v>4293.2</v>
      </c>
      <c r="M307" s="52" t="str">
        <f t="shared" si="38"/>
        <v>musbet</v>
      </c>
      <c r="N307" s="19" t="str">
        <f t="shared" si="39"/>
        <v>Səidə Düzgün 29169</v>
      </c>
    </row>
    <row r="308" spans="1:14" ht="14.25" customHeight="1" x14ac:dyDescent="0.25">
      <c r="A308" s="12" t="s">
        <v>351</v>
      </c>
      <c r="B308" s="12" t="s">
        <v>48</v>
      </c>
      <c r="C308" s="14">
        <v>33176</v>
      </c>
      <c r="D308" s="17">
        <f t="shared" si="33"/>
        <v>1990</v>
      </c>
      <c r="E308" s="16">
        <f t="shared" si="32"/>
        <v>35</v>
      </c>
      <c r="F308" s="12" t="str">
        <f t="shared" si="34"/>
        <v>30=&lt;40</v>
      </c>
      <c r="G308" s="12" t="s">
        <v>49</v>
      </c>
      <c r="H308" s="13">
        <v>3430.23</v>
      </c>
      <c r="I308" s="12" t="str">
        <f t="shared" si="35"/>
        <v>3000=&lt;4000 AZN</v>
      </c>
      <c r="J308" s="13">
        <v>2093.13</v>
      </c>
      <c r="K308" s="12" t="str">
        <f t="shared" si="36"/>
        <v>2000=&lt;3000 AZN</v>
      </c>
      <c r="L308" s="13">
        <f t="shared" si="37"/>
        <v>1337.1</v>
      </c>
      <c r="M308" s="52" t="str">
        <f t="shared" si="38"/>
        <v>musbet</v>
      </c>
      <c r="N308" s="19" t="str">
        <f t="shared" si="39"/>
        <v>Roza Abbasbəyli 33176</v>
      </c>
    </row>
    <row r="309" spans="1:14" ht="14.25" customHeight="1" x14ac:dyDescent="0.25">
      <c r="A309" s="12" t="s">
        <v>352</v>
      </c>
      <c r="B309" s="12" t="s">
        <v>26</v>
      </c>
      <c r="C309" s="14">
        <v>25146</v>
      </c>
      <c r="D309" s="17">
        <f t="shared" si="33"/>
        <v>1968</v>
      </c>
      <c r="E309" s="16">
        <f t="shared" si="32"/>
        <v>57</v>
      </c>
      <c r="F309" s="12" t="str">
        <f t="shared" si="34"/>
        <v>40=&lt;60</v>
      </c>
      <c r="G309" s="12" t="s">
        <v>51</v>
      </c>
      <c r="H309" s="13">
        <v>4535.74</v>
      </c>
      <c r="I309" s="12" t="str">
        <f t="shared" si="35"/>
        <v>4000=&lt;5000 AZN</v>
      </c>
      <c r="J309" s="13">
        <v>4056.66</v>
      </c>
      <c r="K309" s="12" t="str">
        <f t="shared" si="36"/>
        <v>4000=&lt;5000 AZN</v>
      </c>
      <c r="L309" s="13">
        <f t="shared" si="37"/>
        <v>479.07999999999993</v>
      </c>
      <c r="M309" s="52" t="str">
        <f t="shared" si="38"/>
        <v>musbet</v>
      </c>
      <c r="N309" s="19" t="str">
        <f t="shared" si="39"/>
        <v>Şıxı Həsənli 25146</v>
      </c>
    </row>
    <row r="310" spans="1:14" ht="14.25" customHeight="1" x14ac:dyDescent="0.25">
      <c r="A310" s="12" t="s">
        <v>353</v>
      </c>
      <c r="B310" s="12" t="s">
        <v>65</v>
      </c>
      <c r="C310" s="14">
        <v>32179</v>
      </c>
      <c r="D310" s="17">
        <f t="shared" si="33"/>
        <v>1988</v>
      </c>
      <c r="E310" s="16">
        <f t="shared" si="32"/>
        <v>37</v>
      </c>
      <c r="F310" s="12" t="str">
        <f t="shared" si="34"/>
        <v>30=&lt;40</v>
      </c>
      <c r="G310" s="12" t="s">
        <v>42</v>
      </c>
      <c r="H310" s="13">
        <v>3921.09</v>
      </c>
      <c r="I310" s="12" t="str">
        <f t="shared" si="35"/>
        <v>3000=&lt;4000 AZN</v>
      </c>
      <c r="J310" s="13">
        <v>4622.08</v>
      </c>
      <c r="K310" s="12" t="str">
        <f t="shared" si="36"/>
        <v>4000=&lt;5000 AZN</v>
      </c>
      <c r="L310" s="13">
        <f t="shared" si="37"/>
        <v>-700.98999999999978</v>
      </c>
      <c r="M310" s="52" t="str">
        <f t="shared" si="38"/>
        <v>menfi</v>
      </c>
      <c r="N310" s="19" t="str">
        <f t="shared" si="39"/>
        <v>Gülbala Cabbarov 32179</v>
      </c>
    </row>
    <row r="311" spans="1:14" ht="14.25" customHeight="1" x14ac:dyDescent="0.25">
      <c r="A311" s="12" t="s">
        <v>354</v>
      </c>
      <c r="B311" s="12" t="s">
        <v>48</v>
      </c>
      <c r="C311" s="14">
        <v>23956</v>
      </c>
      <c r="D311" s="17">
        <f t="shared" si="33"/>
        <v>1965</v>
      </c>
      <c r="E311" s="16">
        <f t="shared" si="32"/>
        <v>60</v>
      </c>
      <c r="F311" s="12" t="str">
        <f t="shared" si="34"/>
        <v>60=&lt;</v>
      </c>
      <c r="G311" s="12" t="s">
        <v>66</v>
      </c>
      <c r="H311" s="13">
        <v>904.62</v>
      </c>
      <c r="I311" s="12" t="str">
        <f t="shared" si="35"/>
        <v>&lt;1000 AZN</v>
      </c>
      <c r="J311" s="13">
        <v>1347.89</v>
      </c>
      <c r="K311" s="12" t="str">
        <f t="shared" si="36"/>
        <v>1000=&lt;2000 AZN</v>
      </c>
      <c r="L311" s="13">
        <f t="shared" si="37"/>
        <v>-443.2700000000001</v>
      </c>
      <c r="M311" s="52" t="str">
        <f t="shared" si="38"/>
        <v>menfi</v>
      </c>
      <c r="N311" s="19" t="str">
        <f t="shared" si="39"/>
        <v>Rəsul Abbasbəyli 23956</v>
      </c>
    </row>
    <row r="312" spans="1:14" ht="14.25" customHeight="1" x14ac:dyDescent="0.25">
      <c r="A312" s="12" t="s">
        <v>355</v>
      </c>
      <c r="B312" s="12" t="s">
        <v>27</v>
      </c>
      <c r="C312" s="14">
        <v>34667</v>
      </c>
      <c r="D312" s="17">
        <f t="shared" si="33"/>
        <v>1994</v>
      </c>
      <c r="E312" s="16">
        <f t="shared" si="32"/>
        <v>31</v>
      </c>
      <c r="F312" s="12" t="str">
        <f t="shared" si="34"/>
        <v>30=&lt;40</v>
      </c>
      <c r="G312" s="12" t="s">
        <v>66</v>
      </c>
      <c r="H312" s="13">
        <v>2942.42</v>
      </c>
      <c r="I312" s="12" t="str">
        <f t="shared" si="35"/>
        <v>2000=&lt;3000 AZN</v>
      </c>
      <c r="J312" s="13">
        <v>523.1</v>
      </c>
      <c r="K312" s="12" t="str">
        <f t="shared" si="36"/>
        <v>&lt;1000 AZN</v>
      </c>
      <c r="L312" s="13">
        <f t="shared" si="37"/>
        <v>2419.3200000000002</v>
      </c>
      <c r="M312" s="52" t="str">
        <f t="shared" si="38"/>
        <v>musbet</v>
      </c>
      <c r="N312" s="19" t="str">
        <f t="shared" si="39"/>
        <v>Xanlar Vurğun 34667</v>
      </c>
    </row>
    <row r="313" spans="1:14" ht="14.25" customHeight="1" x14ac:dyDescent="0.25">
      <c r="A313" s="12" t="s">
        <v>356</v>
      </c>
      <c r="B313" s="12" t="s">
        <v>56</v>
      </c>
      <c r="C313" s="14">
        <v>23961</v>
      </c>
      <c r="D313" s="17">
        <f t="shared" si="33"/>
        <v>1965</v>
      </c>
      <c r="E313" s="16">
        <f t="shared" si="32"/>
        <v>60</v>
      </c>
      <c r="F313" s="12" t="str">
        <f t="shared" si="34"/>
        <v>60=&lt;</v>
      </c>
      <c r="G313" s="12" t="s">
        <v>63</v>
      </c>
      <c r="H313" s="13">
        <v>4202.41</v>
      </c>
      <c r="I313" s="12" t="str">
        <f t="shared" si="35"/>
        <v>4000=&lt;5000 AZN</v>
      </c>
      <c r="J313" s="13">
        <v>2485.06</v>
      </c>
      <c r="K313" s="12" t="str">
        <f t="shared" si="36"/>
        <v>2000=&lt;3000 AZN</v>
      </c>
      <c r="L313" s="13">
        <f t="shared" si="37"/>
        <v>1717.35</v>
      </c>
      <c r="M313" s="52" t="str">
        <f t="shared" si="38"/>
        <v>musbet</v>
      </c>
      <c r="N313" s="19" t="str">
        <f t="shared" si="39"/>
        <v>Fəzail Talıbzadə 23961</v>
      </c>
    </row>
    <row r="314" spans="1:14" ht="14.25" customHeight="1" x14ac:dyDescent="0.25">
      <c r="A314" s="12" t="s">
        <v>357</v>
      </c>
      <c r="B314" s="12" t="s">
        <v>26</v>
      </c>
      <c r="C314" s="14">
        <v>33817</v>
      </c>
      <c r="D314" s="17">
        <f t="shared" si="33"/>
        <v>1992</v>
      </c>
      <c r="E314" s="16">
        <f t="shared" si="32"/>
        <v>33</v>
      </c>
      <c r="F314" s="12" t="str">
        <f t="shared" si="34"/>
        <v>30=&lt;40</v>
      </c>
      <c r="G314" s="12" t="s">
        <v>63</v>
      </c>
      <c r="H314" s="13">
        <v>1373.07</v>
      </c>
      <c r="I314" s="12" t="str">
        <f t="shared" si="35"/>
        <v>1000=&lt;2000 AZN</v>
      </c>
      <c r="J314" s="13">
        <v>3230.57</v>
      </c>
      <c r="K314" s="12" t="str">
        <f t="shared" si="36"/>
        <v>3000=&lt;4000 AZN</v>
      </c>
      <c r="L314" s="13">
        <f t="shared" si="37"/>
        <v>-1857.5000000000002</v>
      </c>
      <c r="M314" s="52" t="str">
        <f t="shared" si="38"/>
        <v>menfi</v>
      </c>
      <c r="N314" s="19" t="str">
        <f t="shared" si="39"/>
        <v>Mirəli Həsənli 33817</v>
      </c>
    </row>
    <row r="315" spans="1:14" ht="14.25" customHeight="1" x14ac:dyDescent="0.25">
      <c r="A315" s="12" t="s">
        <v>358</v>
      </c>
      <c r="B315" s="12" t="s">
        <v>30</v>
      </c>
      <c r="C315" s="14">
        <v>31603</v>
      </c>
      <c r="D315" s="17">
        <f t="shared" si="33"/>
        <v>1986</v>
      </c>
      <c r="E315" s="16">
        <f t="shared" si="32"/>
        <v>39</v>
      </c>
      <c r="F315" s="12" t="str">
        <f t="shared" si="34"/>
        <v>30=&lt;40</v>
      </c>
      <c r="G315" s="12" t="s">
        <v>66</v>
      </c>
      <c r="H315" s="13">
        <v>1977.39</v>
      </c>
      <c r="I315" s="12" t="str">
        <f t="shared" si="35"/>
        <v>1000=&lt;2000 AZN</v>
      </c>
      <c r="J315" s="13">
        <v>1966.53</v>
      </c>
      <c r="K315" s="12" t="str">
        <f t="shared" si="36"/>
        <v>1000=&lt;2000 AZN</v>
      </c>
      <c r="L315" s="13">
        <f t="shared" si="37"/>
        <v>10.860000000000127</v>
      </c>
      <c r="M315" s="52" t="str">
        <f t="shared" si="38"/>
        <v>musbet</v>
      </c>
      <c r="N315" s="19" t="str">
        <f t="shared" si="39"/>
        <v>Əliəkrəm Bəktaşi 31603</v>
      </c>
    </row>
    <row r="316" spans="1:14" ht="14.25" customHeight="1" x14ac:dyDescent="0.25">
      <c r="A316" s="12" t="s">
        <v>359</v>
      </c>
      <c r="B316" s="12" t="s">
        <v>39</v>
      </c>
      <c r="C316" s="14">
        <v>30781</v>
      </c>
      <c r="D316" s="17">
        <f t="shared" si="33"/>
        <v>1984</v>
      </c>
      <c r="E316" s="16">
        <f t="shared" si="32"/>
        <v>41</v>
      </c>
      <c r="F316" s="12" t="str">
        <f t="shared" si="34"/>
        <v>40=&lt;60</v>
      </c>
      <c r="G316" s="12" t="s">
        <v>60</v>
      </c>
      <c r="H316" s="13">
        <v>2392.2600000000002</v>
      </c>
      <c r="I316" s="12" t="str">
        <f t="shared" si="35"/>
        <v>2000=&lt;3000 AZN</v>
      </c>
      <c r="J316" s="13">
        <v>4266.55</v>
      </c>
      <c r="K316" s="12" t="str">
        <f t="shared" si="36"/>
        <v>4000=&lt;5000 AZN</v>
      </c>
      <c r="L316" s="13">
        <f t="shared" si="37"/>
        <v>-1874.29</v>
      </c>
      <c r="M316" s="52" t="str">
        <f t="shared" si="38"/>
        <v>menfi</v>
      </c>
      <c r="N316" s="19" t="str">
        <f t="shared" si="39"/>
        <v>Suğra Düzgün 30781</v>
      </c>
    </row>
    <row r="317" spans="1:14" ht="14.25" customHeight="1" x14ac:dyDescent="0.25">
      <c r="A317" s="12" t="s">
        <v>360</v>
      </c>
      <c r="B317" s="12" t="s">
        <v>48</v>
      </c>
      <c r="C317" s="14">
        <v>29838</v>
      </c>
      <c r="D317" s="17">
        <f t="shared" si="33"/>
        <v>1981</v>
      </c>
      <c r="E317" s="16">
        <f t="shared" si="32"/>
        <v>44</v>
      </c>
      <c r="F317" s="12" t="str">
        <f t="shared" si="34"/>
        <v>40=&lt;60</v>
      </c>
      <c r="G317" s="12" t="s">
        <v>58</v>
      </c>
      <c r="H317" s="13">
        <v>2231.77</v>
      </c>
      <c r="I317" s="12" t="str">
        <f t="shared" si="35"/>
        <v>2000=&lt;3000 AZN</v>
      </c>
      <c r="J317" s="13">
        <v>652.29999999999995</v>
      </c>
      <c r="K317" s="12" t="str">
        <f t="shared" si="36"/>
        <v>&lt;1000 AZN</v>
      </c>
      <c r="L317" s="13">
        <f t="shared" si="37"/>
        <v>1579.47</v>
      </c>
      <c r="M317" s="52" t="str">
        <f t="shared" si="38"/>
        <v>musbet</v>
      </c>
      <c r="N317" s="19" t="str">
        <f t="shared" si="39"/>
        <v>Nüsrət Abbasbəyli 29838</v>
      </c>
    </row>
    <row r="318" spans="1:14" ht="14.25" customHeight="1" x14ac:dyDescent="0.25">
      <c r="A318" s="12" t="s">
        <v>361</v>
      </c>
      <c r="B318" s="12" t="s">
        <v>44</v>
      </c>
      <c r="C318" s="14">
        <v>32352</v>
      </c>
      <c r="D318" s="17">
        <f t="shared" si="33"/>
        <v>1988</v>
      </c>
      <c r="E318" s="16">
        <f t="shared" si="32"/>
        <v>37</v>
      </c>
      <c r="F318" s="12" t="str">
        <f t="shared" si="34"/>
        <v>30=&lt;40</v>
      </c>
      <c r="G318" s="12" t="s">
        <v>66</v>
      </c>
      <c r="H318" s="13">
        <v>2055.37</v>
      </c>
      <c r="I318" s="12" t="str">
        <f t="shared" si="35"/>
        <v>2000=&lt;3000 AZN</v>
      </c>
      <c r="J318" s="13">
        <v>4552.2299999999996</v>
      </c>
      <c r="K318" s="12" t="str">
        <f t="shared" si="36"/>
        <v>4000=&lt;5000 AZN</v>
      </c>
      <c r="L318" s="13">
        <f t="shared" si="37"/>
        <v>-2496.8599999999997</v>
      </c>
      <c r="M318" s="52" t="str">
        <f t="shared" si="38"/>
        <v>menfi</v>
      </c>
      <c r="N318" s="19" t="str">
        <f t="shared" si="39"/>
        <v>Bəhlul Təhmin 32352</v>
      </c>
    </row>
    <row r="319" spans="1:14" ht="14.25" customHeight="1" x14ac:dyDescent="0.25">
      <c r="A319" s="12" t="s">
        <v>362</v>
      </c>
      <c r="B319" s="12" t="s">
        <v>44</v>
      </c>
      <c r="C319" s="14">
        <v>27236</v>
      </c>
      <c r="D319" s="17">
        <f t="shared" si="33"/>
        <v>1974</v>
      </c>
      <c r="E319" s="16">
        <f t="shared" si="32"/>
        <v>51</v>
      </c>
      <c r="F319" s="12" t="str">
        <f t="shared" si="34"/>
        <v>40=&lt;60</v>
      </c>
      <c r="G319" s="12" t="s">
        <v>66</v>
      </c>
      <c r="H319" s="13">
        <v>1849.4</v>
      </c>
      <c r="I319" s="12" t="str">
        <f t="shared" si="35"/>
        <v>1000=&lt;2000 AZN</v>
      </c>
      <c r="J319" s="13">
        <v>3690.62</v>
      </c>
      <c r="K319" s="12" t="str">
        <f t="shared" si="36"/>
        <v>3000=&lt;4000 AZN</v>
      </c>
      <c r="L319" s="13">
        <f t="shared" si="37"/>
        <v>-1841.2199999999998</v>
      </c>
      <c r="M319" s="52" t="str">
        <f t="shared" si="38"/>
        <v>menfi</v>
      </c>
      <c r="N319" s="19" t="str">
        <f t="shared" si="39"/>
        <v>Növrəstə Təhmin 27236</v>
      </c>
    </row>
    <row r="320" spans="1:14" ht="14.25" customHeight="1" x14ac:dyDescent="0.25">
      <c r="A320" s="12" t="s">
        <v>363</v>
      </c>
      <c r="B320" s="12" t="s">
        <v>27</v>
      </c>
      <c r="C320" s="14">
        <v>30924</v>
      </c>
      <c r="D320" s="17">
        <f t="shared" si="33"/>
        <v>1984</v>
      </c>
      <c r="E320" s="16">
        <f t="shared" si="32"/>
        <v>41</v>
      </c>
      <c r="F320" s="12" t="str">
        <f t="shared" si="34"/>
        <v>40=&lt;60</v>
      </c>
      <c r="G320" s="12" t="s">
        <v>58</v>
      </c>
      <c r="H320" s="13">
        <v>2732.61</v>
      </c>
      <c r="I320" s="12" t="str">
        <f t="shared" si="35"/>
        <v>2000=&lt;3000 AZN</v>
      </c>
      <c r="J320" s="13">
        <v>4784.99</v>
      </c>
      <c r="K320" s="12" t="str">
        <f t="shared" si="36"/>
        <v>4000=&lt;5000 AZN</v>
      </c>
      <c r="L320" s="13">
        <f t="shared" si="37"/>
        <v>-2052.3799999999997</v>
      </c>
      <c r="M320" s="52" t="str">
        <f t="shared" si="38"/>
        <v>menfi</v>
      </c>
      <c r="N320" s="19" t="str">
        <f t="shared" si="39"/>
        <v>Əflatun Vurğun 30924</v>
      </c>
    </row>
    <row r="321" spans="1:14" ht="14.25" customHeight="1" x14ac:dyDescent="0.25">
      <c r="A321" s="12" t="s">
        <v>364</v>
      </c>
      <c r="B321" s="12" t="s">
        <v>48</v>
      </c>
      <c r="C321" s="14">
        <v>22247</v>
      </c>
      <c r="D321" s="17">
        <f t="shared" si="33"/>
        <v>1960</v>
      </c>
      <c r="E321" s="16">
        <f t="shared" si="32"/>
        <v>65</v>
      </c>
      <c r="F321" s="12" t="str">
        <f t="shared" si="34"/>
        <v>60=&lt;</v>
      </c>
      <c r="G321" s="12" t="s">
        <v>40</v>
      </c>
      <c r="H321" s="13">
        <v>4709.0200000000004</v>
      </c>
      <c r="I321" s="12" t="str">
        <f t="shared" si="35"/>
        <v>4000=&lt;5000 AZN</v>
      </c>
      <c r="J321" s="13">
        <v>798.29</v>
      </c>
      <c r="K321" s="12" t="str">
        <f t="shared" si="36"/>
        <v>&lt;1000 AZN</v>
      </c>
      <c r="L321" s="13">
        <f t="shared" si="37"/>
        <v>3910.7300000000005</v>
      </c>
      <c r="M321" s="52" t="str">
        <f t="shared" si="38"/>
        <v>musbet</v>
      </c>
      <c r="N321" s="19" t="str">
        <f t="shared" si="39"/>
        <v>Elvin Abbasbəyli 22247</v>
      </c>
    </row>
    <row r="322" spans="1:14" ht="14.25" customHeight="1" x14ac:dyDescent="0.25">
      <c r="A322" s="12" t="s">
        <v>365</v>
      </c>
      <c r="B322" s="12" t="s">
        <v>44</v>
      </c>
      <c r="C322" s="14">
        <v>34605</v>
      </c>
      <c r="D322" s="17">
        <f t="shared" si="33"/>
        <v>1994</v>
      </c>
      <c r="E322" s="16">
        <f t="shared" ref="E322:E385" si="40">2025-D322</f>
        <v>31</v>
      </c>
      <c r="F322" s="12" t="str">
        <f t="shared" si="34"/>
        <v>30=&lt;40</v>
      </c>
      <c r="G322" s="12" t="s">
        <v>42</v>
      </c>
      <c r="H322" s="13">
        <v>441.5</v>
      </c>
      <c r="I322" s="12" t="str">
        <f t="shared" si="35"/>
        <v>&lt;1000 AZN</v>
      </c>
      <c r="J322" s="13">
        <v>1772.82</v>
      </c>
      <c r="K322" s="12" t="str">
        <f t="shared" si="36"/>
        <v>1000=&lt;2000 AZN</v>
      </c>
      <c r="L322" s="13">
        <f t="shared" si="37"/>
        <v>-1331.32</v>
      </c>
      <c r="M322" s="52" t="str">
        <f t="shared" si="38"/>
        <v>menfi</v>
      </c>
      <c r="N322" s="19" t="str">
        <f t="shared" si="39"/>
        <v>İnarə Təhmin 34605</v>
      </c>
    </row>
    <row r="323" spans="1:14" ht="14.25" customHeight="1" x14ac:dyDescent="0.25">
      <c r="A323" s="12" t="s">
        <v>366</v>
      </c>
      <c r="B323" s="12" t="s">
        <v>65</v>
      </c>
      <c r="C323" s="14">
        <v>32537</v>
      </c>
      <c r="D323" s="17">
        <f t="shared" ref="D323:D386" si="41">YEAR(C323)</f>
        <v>1989</v>
      </c>
      <c r="E323" s="16">
        <f t="shared" si="40"/>
        <v>36</v>
      </c>
      <c r="F323" s="12" t="str">
        <f t="shared" ref="F323:F386" si="42">IF(AND(E323&gt;=0,E323&lt;20),"0=&lt;20",IF(AND(E323&gt;=20,E323&lt;30),"20=&lt;30",IF(AND(E323&gt;=30,E323&lt;40),"30=&lt;40",IF(AND(E323&gt;=40,E323&lt;60),"40=&lt;60",IF(AND(E323&gt;=60),"60=&lt;")))))</f>
        <v>30=&lt;40</v>
      </c>
      <c r="G323" s="12" t="s">
        <v>60</v>
      </c>
      <c r="H323" s="13">
        <v>3739.14</v>
      </c>
      <c r="I323" s="12" t="str">
        <f t="shared" ref="I323:I386" si="43">IF(AND(H323&lt;1000),"&lt;1000 AZN",IF(AND(H323&gt;=1000,H323&lt;2000),"1000=&lt;2000 AZN",IF(AND(H323&gt;=2000,H323&lt;3000),"2000=&lt;3000 AZN",IF(AND(H323&gt;=3000,H323&lt;4000),"3000=&lt;4000 AZN",IF(AND(H323&gt;=4000,H323&lt;5000),"4000=&lt;5000 AZN",IF(AND(H323&gt;=5000,),"5000=&lt;  AZN"))))))</f>
        <v>3000=&lt;4000 AZN</v>
      </c>
      <c r="J323" s="13">
        <v>1016.69</v>
      </c>
      <c r="K323" s="12" t="str">
        <f t="shared" ref="K323:K386" si="44">IF(AND(J323&lt;1000),"&lt;1000 AZN",IF(AND(J323&gt;=1000,J323&lt;2000),"1000=&lt;2000 AZN",IF(AND(J323&gt;=2000,J323&lt;3000),"2000=&lt;3000 AZN",IF(AND(J323&gt;=3000,J323&lt;4000),"3000=&lt;4000 AZN",IF(AND(J323&gt;=4000,J323&lt;5000),"4000=&lt;5000 AZN",IF(AND(J323&gt;=5000,),"5000=&lt;  AZN"))))))</f>
        <v>1000=&lt;2000 AZN</v>
      </c>
      <c r="L323" s="13">
        <f t="shared" ref="L323:L386" si="45">H323-J323</f>
        <v>2722.45</v>
      </c>
      <c r="M323" s="52" t="str">
        <f t="shared" ref="M323:M386" si="46">IF(L323&lt;0,"menfi","musbet")</f>
        <v>musbet</v>
      </c>
      <c r="N323" s="19" t="str">
        <f t="shared" ref="N323:N386" si="47">_xlfn.CONCAT(A323," ",B323," ",C323)</f>
        <v>Müşkünaz Cabbarov 32537</v>
      </c>
    </row>
    <row r="324" spans="1:14" ht="14.25" customHeight="1" x14ac:dyDescent="0.25">
      <c r="A324" s="12" t="s">
        <v>367</v>
      </c>
      <c r="B324" s="12" t="s">
        <v>48</v>
      </c>
      <c r="C324" s="14">
        <v>36393</v>
      </c>
      <c r="D324" s="17">
        <f t="shared" si="41"/>
        <v>1999</v>
      </c>
      <c r="E324" s="16">
        <f t="shared" si="40"/>
        <v>26</v>
      </c>
      <c r="F324" s="12" t="str">
        <f t="shared" si="42"/>
        <v>20=&lt;30</v>
      </c>
      <c r="G324" s="12" t="s">
        <v>60</v>
      </c>
      <c r="H324" s="13">
        <v>3378.46</v>
      </c>
      <c r="I324" s="12" t="str">
        <f t="shared" si="43"/>
        <v>3000=&lt;4000 AZN</v>
      </c>
      <c r="J324" s="13">
        <v>4821.6899999999996</v>
      </c>
      <c r="K324" s="12" t="str">
        <f t="shared" si="44"/>
        <v>4000=&lt;5000 AZN</v>
      </c>
      <c r="L324" s="13">
        <f t="shared" si="45"/>
        <v>-1443.2299999999996</v>
      </c>
      <c r="M324" s="52" t="str">
        <f t="shared" si="46"/>
        <v>menfi</v>
      </c>
      <c r="N324" s="19" t="str">
        <f t="shared" si="47"/>
        <v>Sima Abbasbəyli 36393</v>
      </c>
    </row>
    <row r="325" spans="1:14" ht="14.25" customHeight="1" x14ac:dyDescent="0.25">
      <c r="A325" s="12" t="s">
        <v>368</v>
      </c>
      <c r="B325" s="12" t="s">
        <v>65</v>
      </c>
      <c r="C325" s="14">
        <v>32313</v>
      </c>
      <c r="D325" s="17">
        <f t="shared" si="41"/>
        <v>1988</v>
      </c>
      <c r="E325" s="16">
        <f t="shared" si="40"/>
        <v>37</v>
      </c>
      <c r="F325" s="12" t="str">
        <f t="shared" si="42"/>
        <v>30=&lt;40</v>
      </c>
      <c r="G325" s="12" t="s">
        <v>60</v>
      </c>
      <c r="H325" s="13">
        <v>2118.17</v>
      </c>
      <c r="I325" s="12" t="str">
        <f t="shared" si="43"/>
        <v>2000=&lt;3000 AZN</v>
      </c>
      <c r="J325" s="13">
        <v>863.15</v>
      </c>
      <c r="K325" s="12" t="str">
        <f t="shared" si="44"/>
        <v>&lt;1000 AZN</v>
      </c>
      <c r="L325" s="13">
        <f t="shared" si="45"/>
        <v>1255.02</v>
      </c>
      <c r="M325" s="52" t="str">
        <f t="shared" si="46"/>
        <v>musbet</v>
      </c>
      <c r="N325" s="19" t="str">
        <f t="shared" si="47"/>
        <v>Azad Cabbarov 32313</v>
      </c>
    </row>
    <row r="326" spans="1:14" ht="14.25" customHeight="1" x14ac:dyDescent="0.25">
      <c r="A326" s="12" t="s">
        <v>369</v>
      </c>
      <c r="B326" s="12" t="s">
        <v>27</v>
      </c>
      <c r="C326" s="14">
        <v>32782</v>
      </c>
      <c r="D326" s="17">
        <f t="shared" si="41"/>
        <v>1989</v>
      </c>
      <c r="E326" s="16">
        <f t="shared" si="40"/>
        <v>36</v>
      </c>
      <c r="F326" s="12" t="str">
        <f t="shared" si="42"/>
        <v>30=&lt;40</v>
      </c>
      <c r="G326" s="12" t="s">
        <v>45</v>
      </c>
      <c r="H326" s="13">
        <v>4584.08</v>
      </c>
      <c r="I326" s="12" t="str">
        <f t="shared" si="43"/>
        <v>4000=&lt;5000 AZN</v>
      </c>
      <c r="J326" s="13">
        <v>1688.57</v>
      </c>
      <c r="K326" s="12" t="str">
        <f t="shared" si="44"/>
        <v>1000=&lt;2000 AZN</v>
      </c>
      <c r="L326" s="13">
        <f t="shared" si="45"/>
        <v>2895.51</v>
      </c>
      <c r="M326" s="52" t="str">
        <f t="shared" si="46"/>
        <v>musbet</v>
      </c>
      <c r="N326" s="19" t="str">
        <f t="shared" si="47"/>
        <v>Gülüstan Vurğun 32782</v>
      </c>
    </row>
    <row r="327" spans="1:14" ht="14.25" customHeight="1" x14ac:dyDescent="0.25">
      <c r="A327" s="12" t="s">
        <v>370</v>
      </c>
      <c r="B327" s="12" t="s">
        <v>30</v>
      </c>
      <c r="C327" s="14">
        <v>24228</v>
      </c>
      <c r="D327" s="17">
        <f t="shared" si="41"/>
        <v>1966</v>
      </c>
      <c r="E327" s="16">
        <f t="shared" si="40"/>
        <v>59</v>
      </c>
      <c r="F327" s="12" t="str">
        <f t="shared" si="42"/>
        <v>40=&lt;60</v>
      </c>
      <c r="G327" s="12" t="s">
        <v>63</v>
      </c>
      <c r="H327" s="13">
        <v>3307.85</v>
      </c>
      <c r="I327" s="12" t="str">
        <f t="shared" si="43"/>
        <v>3000=&lt;4000 AZN</v>
      </c>
      <c r="J327" s="13">
        <v>1853.64</v>
      </c>
      <c r="K327" s="12" t="str">
        <f t="shared" si="44"/>
        <v>1000=&lt;2000 AZN</v>
      </c>
      <c r="L327" s="13">
        <f t="shared" si="45"/>
        <v>1454.2099999999998</v>
      </c>
      <c r="M327" s="52" t="str">
        <f t="shared" si="46"/>
        <v>musbet</v>
      </c>
      <c r="N327" s="19" t="str">
        <f t="shared" si="47"/>
        <v>Gülnaz Bəktaşi 24228</v>
      </c>
    </row>
    <row r="328" spans="1:14" ht="14.25" customHeight="1" x14ac:dyDescent="0.25">
      <c r="A328" s="12" t="s">
        <v>371</v>
      </c>
      <c r="B328" s="12" t="s">
        <v>44</v>
      </c>
      <c r="C328" s="14">
        <v>34086</v>
      </c>
      <c r="D328" s="17">
        <f t="shared" si="41"/>
        <v>1993</v>
      </c>
      <c r="E328" s="16">
        <f t="shared" si="40"/>
        <v>32</v>
      </c>
      <c r="F328" s="12" t="str">
        <f t="shared" si="42"/>
        <v>30=&lt;40</v>
      </c>
      <c r="G328" s="12" t="s">
        <v>51</v>
      </c>
      <c r="H328" s="13">
        <v>1098.06</v>
      </c>
      <c r="I328" s="12" t="str">
        <f t="shared" si="43"/>
        <v>1000=&lt;2000 AZN</v>
      </c>
      <c r="J328" s="13">
        <v>2701.91</v>
      </c>
      <c r="K328" s="12" t="str">
        <f t="shared" si="44"/>
        <v>2000=&lt;3000 AZN</v>
      </c>
      <c r="L328" s="13">
        <f t="shared" si="45"/>
        <v>-1603.85</v>
      </c>
      <c r="M328" s="52" t="str">
        <f t="shared" si="46"/>
        <v>menfi</v>
      </c>
      <c r="N328" s="19" t="str">
        <f t="shared" si="47"/>
        <v>Namiq Təhmin 34086</v>
      </c>
    </row>
    <row r="329" spans="1:14" ht="14.25" customHeight="1" x14ac:dyDescent="0.25">
      <c r="A329" s="12" t="s">
        <v>372</v>
      </c>
      <c r="B329" s="12" t="s">
        <v>29</v>
      </c>
      <c r="C329" s="14">
        <v>24192</v>
      </c>
      <c r="D329" s="17">
        <f t="shared" si="41"/>
        <v>1966</v>
      </c>
      <c r="E329" s="16">
        <f t="shared" si="40"/>
        <v>59</v>
      </c>
      <c r="F329" s="12" t="str">
        <f t="shared" si="42"/>
        <v>40=&lt;60</v>
      </c>
      <c r="G329" s="12" t="s">
        <v>42</v>
      </c>
      <c r="H329" s="13">
        <v>1703.96</v>
      </c>
      <c r="I329" s="12" t="str">
        <f t="shared" si="43"/>
        <v>1000=&lt;2000 AZN</v>
      </c>
      <c r="J329" s="13">
        <v>1013.15</v>
      </c>
      <c r="K329" s="12" t="str">
        <f t="shared" si="44"/>
        <v>1000=&lt;2000 AZN</v>
      </c>
      <c r="L329" s="13">
        <f t="shared" si="45"/>
        <v>690.81000000000006</v>
      </c>
      <c r="M329" s="52" t="str">
        <f t="shared" si="46"/>
        <v>musbet</v>
      </c>
      <c r="N329" s="19" t="str">
        <f t="shared" si="47"/>
        <v>Manaf Bayramov 24192</v>
      </c>
    </row>
    <row r="330" spans="1:14" ht="14.25" customHeight="1" x14ac:dyDescent="0.25">
      <c r="A330" s="12" t="s">
        <v>373</v>
      </c>
      <c r="B330" s="12" t="s">
        <v>27</v>
      </c>
      <c r="C330" s="14">
        <v>27060</v>
      </c>
      <c r="D330" s="17">
        <f t="shared" si="41"/>
        <v>1974</v>
      </c>
      <c r="E330" s="16">
        <f t="shared" si="40"/>
        <v>51</v>
      </c>
      <c r="F330" s="12" t="str">
        <f t="shared" si="42"/>
        <v>40=&lt;60</v>
      </c>
      <c r="G330" s="12" t="s">
        <v>66</v>
      </c>
      <c r="H330" s="13">
        <v>4547.97</v>
      </c>
      <c r="I330" s="12" t="str">
        <f t="shared" si="43"/>
        <v>4000=&lt;5000 AZN</v>
      </c>
      <c r="J330" s="13">
        <v>1853.19</v>
      </c>
      <c r="K330" s="12" t="str">
        <f t="shared" si="44"/>
        <v>1000=&lt;2000 AZN</v>
      </c>
      <c r="L330" s="13">
        <f t="shared" si="45"/>
        <v>2694.78</v>
      </c>
      <c r="M330" s="52" t="str">
        <f t="shared" si="46"/>
        <v>musbet</v>
      </c>
      <c r="N330" s="19" t="str">
        <f t="shared" si="47"/>
        <v>Pərvanə Vurğun 27060</v>
      </c>
    </row>
    <row r="331" spans="1:14" ht="14.25" customHeight="1" x14ac:dyDescent="0.25">
      <c r="A331" s="12" t="s">
        <v>374</v>
      </c>
      <c r="B331" s="12" t="s">
        <v>29</v>
      </c>
      <c r="C331" s="14">
        <v>22301</v>
      </c>
      <c r="D331" s="17">
        <f t="shared" si="41"/>
        <v>1961</v>
      </c>
      <c r="E331" s="16">
        <f t="shared" si="40"/>
        <v>64</v>
      </c>
      <c r="F331" s="12" t="str">
        <f t="shared" si="42"/>
        <v>60=&lt;</v>
      </c>
      <c r="G331" s="12" t="s">
        <v>49</v>
      </c>
      <c r="H331" s="13">
        <v>3179.63</v>
      </c>
      <c r="I331" s="12" t="str">
        <f t="shared" si="43"/>
        <v>3000=&lt;4000 AZN</v>
      </c>
      <c r="J331" s="13">
        <v>2486.19</v>
      </c>
      <c r="K331" s="12" t="str">
        <f t="shared" si="44"/>
        <v>2000=&lt;3000 AZN</v>
      </c>
      <c r="L331" s="13">
        <f t="shared" si="45"/>
        <v>693.44</v>
      </c>
      <c r="M331" s="52" t="str">
        <f t="shared" si="46"/>
        <v>musbet</v>
      </c>
      <c r="N331" s="19" t="str">
        <f t="shared" si="47"/>
        <v>Rafael Bayramov 22301</v>
      </c>
    </row>
    <row r="332" spans="1:14" ht="14.25" customHeight="1" x14ac:dyDescent="0.25">
      <c r="A332" s="12" t="s">
        <v>375</v>
      </c>
      <c r="B332" s="12" t="s">
        <v>27</v>
      </c>
      <c r="C332" s="14">
        <v>34252</v>
      </c>
      <c r="D332" s="17">
        <f t="shared" si="41"/>
        <v>1993</v>
      </c>
      <c r="E332" s="16">
        <f t="shared" si="40"/>
        <v>32</v>
      </c>
      <c r="F332" s="12" t="str">
        <f t="shared" si="42"/>
        <v>30=&lt;40</v>
      </c>
      <c r="G332" s="12" t="s">
        <v>66</v>
      </c>
      <c r="H332" s="13">
        <v>2467.12</v>
      </c>
      <c r="I332" s="12" t="str">
        <f t="shared" si="43"/>
        <v>2000=&lt;3000 AZN</v>
      </c>
      <c r="J332" s="13">
        <v>1037.3800000000001</v>
      </c>
      <c r="K332" s="12" t="str">
        <f t="shared" si="44"/>
        <v>1000=&lt;2000 AZN</v>
      </c>
      <c r="L332" s="13">
        <f t="shared" si="45"/>
        <v>1429.7399999999998</v>
      </c>
      <c r="M332" s="52" t="str">
        <f t="shared" si="46"/>
        <v>musbet</v>
      </c>
      <c r="N332" s="19" t="str">
        <f t="shared" si="47"/>
        <v>Zakir Vurğun 34252</v>
      </c>
    </row>
    <row r="333" spans="1:14" ht="14.25" customHeight="1" x14ac:dyDescent="0.25">
      <c r="A333" s="12" t="s">
        <v>376</v>
      </c>
      <c r="B333" s="12" t="s">
        <v>65</v>
      </c>
      <c r="C333" s="14">
        <v>25428</v>
      </c>
      <c r="D333" s="17">
        <f t="shared" si="41"/>
        <v>1969</v>
      </c>
      <c r="E333" s="16">
        <f t="shared" si="40"/>
        <v>56</v>
      </c>
      <c r="F333" s="12" t="str">
        <f t="shared" si="42"/>
        <v>40=&lt;60</v>
      </c>
      <c r="G333" s="12" t="s">
        <v>40</v>
      </c>
      <c r="H333" s="13">
        <v>3787.21</v>
      </c>
      <c r="I333" s="12" t="str">
        <f t="shared" si="43"/>
        <v>3000=&lt;4000 AZN</v>
      </c>
      <c r="J333" s="13">
        <v>4073.92</v>
      </c>
      <c r="K333" s="12" t="str">
        <f t="shared" si="44"/>
        <v>4000=&lt;5000 AZN</v>
      </c>
      <c r="L333" s="13">
        <f t="shared" si="45"/>
        <v>-286.71000000000004</v>
      </c>
      <c r="M333" s="52" t="str">
        <f t="shared" si="46"/>
        <v>menfi</v>
      </c>
      <c r="N333" s="19" t="str">
        <f t="shared" si="47"/>
        <v>Bahadır Cabbarov 25428</v>
      </c>
    </row>
    <row r="334" spans="1:14" ht="14.25" customHeight="1" x14ac:dyDescent="0.25">
      <c r="A334" s="12" t="s">
        <v>377</v>
      </c>
      <c r="B334" s="12" t="s">
        <v>28</v>
      </c>
      <c r="C334" s="14">
        <v>25475</v>
      </c>
      <c r="D334" s="17">
        <f t="shared" si="41"/>
        <v>1969</v>
      </c>
      <c r="E334" s="16">
        <f t="shared" si="40"/>
        <v>56</v>
      </c>
      <c r="F334" s="12" t="str">
        <f t="shared" si="42"/>
        <v>40=&lt;60</v>
      </c>
      <c r="G334" s="12" t="s">
        <v>63</v>
      </c>
      <c r="H334" s="13">
        <v>486.23</v>
      </c>
      <c r="I334" s="12" t="str">
        <f t="shared" si="43"/>
        <v>&lt;1000 AZN</v>
      </c>
      <c r="J334" s="13">
        <v>4124.8999999999996</v>
      </c>
      <c r="K334" s="12" t="str">
        <f t="shared" si="44"/>
        <v>4000=&lt;5000 AZN</v>
      </c>
      <c r="L334" s="13">
        <f t="shared" si="45"/>
        <v>-3638.6699999999996</v>
      </c>
      <c r="M334" s="52" t="str">
        <f t="shared" si="46"/>
        <v>menfi</v>
      </c>
      <c r="N334" s="19" t="str">
        <f t="shared" si="47"/>
        <v>Elgün Mirzəyev 25475</v>
      </c>
    </row>
    <row r="335" spans="1:14" ht="14.25" customHeight="1" x14ac:dyDescent="0.25">
      <c r="A335" s="12" t="s">
        <v>378</v>
      </c>
      <c r="B335" s="12" t="s">
        <v>30</v>
      </c>
      <c r="C335" s="14">
        <v>30412</v>
      </c>
      <c r="D335" s="17">
        <f t="shared" si="41"/>
        <v>1983</v>
      </c>
      <c r="E335" s="16">
        <f t="shared" si="40"/>
        <v>42</v>
      </c>
      <c r="F335" s="12" t="str">
        <f t="shared" si="42"/>
        <v>40=&lt;60</v>
      </c>
      <c r="G335" s="12" t="s">
        <v>60</v>
      </c>
      <c r="H335" s="13">
        <v>4163.67</v>
      </c>
      <c r="I335" s="12" t="str">
        <f t="shared" si="43"/>
        <v>4000=&lt;5000 AZN</v>
      </c>
      <c r="J335" s="13">
        <v>4474.09</v>
      </c>
      <c r="K335" s="12" t="str">
        <f t="shared" si="44"/>
        <v>4000=&lt;5000 AZN</v>
      </c>
      <c r="L335" s="13">
        <f t="shared" si="45"/>
        <v>-310.42000000000007</v>
      </c>
      <c r="M335" s="52" t="str">
        <f t="shared" si="46"/>
        <v>menfi</v>
      </c>
      <c r="N335" s="19" t="str">
        <f t="shared" si="47"/>
        <v>Rövşanə Bəktaşi 30412</v>
      </c>
    </row>
    <row r="336" spans="1:14" ht="14.25" customHeight="1" x14ac:dyDescent="0.25">
      <c r="A336" s="12" t="s">
        <v>379</v>
      </c>
      <c r="B336" s="12" t="s">
        <v>27</v>
      </c>
      <c r="C336" s="14">
        <v>27054</v>
      </c>
      <c r="D336" s="17">
        <f t="shared" si="41"/>
        <v>1974</v>
      </c>
      <c r="E336" s="16">
        <f t="shared" si="40"/>
        <v>51</v>
      </c>
      <c r="F336" s="12" t="str">
        <f t="shared" si="42"/>
        <v>40=&lt;60</v>
      </c>
      <c r="G336" s="12" t="s">
        <v>45</v>
      </c>
      <c r="H336" s="13">
        <v>2506.0700000000002</v>
      </c>
      <c r="I336" s="12" t="str">
        <f t="shared" si="43"/>
        <v>2000=&lt;3000 AZN</v>
      </c>
      <c r="J336" s="13">
        <v>4895.99</v>
      </c>
      <c r="K336" s="12" t="str">
        <f t="shared" si="44"/>
        <v>4000=&lt;5000 AZN</v>
      </c>
      <c r="L336" s="13">
        <f t="shared" si="45"/>
        <v>-2389.9199999999996</v>
      </c>
      <c r="M336" s="52" t="str">
        <f t="shared" si="46"/>
        <v>menfi</v>
      </c>
      <c r="N336" s="19" t="str">
        <f t="shared" si="47"/>
        <v>Şakir Vurğun 27054</v>
      </c>
    </row>
    <row r="337" spans="1:14" ht="14.25" customHeight="1" x14ac:dyDescent="0.25">
      <c r="A337" s="12" t="s">
        <v>380</v>
      </c>
      <c r="B337" s="12" t="s">
        <v>39</v>
      </c>
      <c r="C337" s="14">
        <v>27145</v>
      </c>
      <c r="D337" s="17">
        <f t="shared" si="41"/>
        <v>1974</v>
      </c>
      <c r="E337" s="16">
        <f t="shared" si="40"/>
        <v>51</v>
      </c>
      <c r="F337" s="12" t="str">
        <f t="shared" si="42"/>
        <v>40=&lt;60</v>
      </c>
      <c r="G337" s="12" t="s">
        <v>42</v>
      </c>
      <c r="H337" s="13">
        <v>1770.36</v>
      </c>
      <c r="I337" s="12" t="str">
        <f t="shared" si="43"/>
        <v>1000=&lt;2000 AZN</v>
      </c>
      <c r="J337" s="13">
        <v>2265.35</v>
      </c>
      <c r="K337" s="12" t="str">
        <f t="shared" si="44"/>
        <v>2000=&lt;3000 AZN</v>
      </c>
      <c r="L337" s="13">
        <f t="shared" si="45"/>
        <v>-494.99</v>
      </c>
      <c r="M337" s="52" t="str">
        <f t="shared" si="46"/>
        <v>menfi</v>
      </c>
      <c r="N337" s="19" t="str">
        <f t="shared" si="47"/>
        <v>Elman Düzgün 27145</v>
      </c>
    </row>
    <row r="338" spans="1:14" ht="14.25" customHeight="1" x14ac:dyDescent="0.25">
      <c r="A338" s="12" t="s">
        <v>381</v>
      </c>
      <c r="B338" s="12" t="s">
        <v>28</v>
      </c>
      <c r="C338" s="14">
        <v>23694</v>
      </c>
      <c r="D338" s="17">
        <f t="shared" si="41"/>
        <v>1964</v>
      </c>
      <c r="E338" s="16">
        <f t="shared" si="40"/>
        <v>61</v>
      </c>
      <c r="F338" s="12" t="str">
        <f t="shared" si="42"/>
        <v>60=&lt;</v>
      </c>
      <c r="G338" s="12" t="s">
        <v>42</v>
      </c>
      <c r="H338" s="13">
        <v>2073.11</v>
      </c>
      <c r="I338" s="12" t="str">
        <f t="shared" si="43"/>
        <v>2000=&lt;3000 AZN</v>
      </c>
      <c r="J338" s="13">
        <v>2768.93</v>
      </c>
      <c r="K338" s="12" t="str">
        <f t="shared" si="44"/>
        <v>2000=&lt;3000 AZN</v>
      </c>
      <c r="L338" s="13">
        <f t="shared" si="45"/>
        <v>-695.81999999999971</v>
      </c>
      <c r="M338" s="52" t="str">
        <f t="shared" si="46"/>
        <v>menfi</v>
      </c>
      <c r="N338" s="19" t="str">
        <f t="shared" si="47"/>
        <v>Kərim Mirzəyev 23694</v>
      </c>
    </row>
    <row r="339" spans="1:14" ht="14.25" customHeight="1" x14ac:dyDescent="0.25">
      <c r="A339" s="12" t="s">
        <v>382</v>
      </c>
      <c r="B339" s="12" t="s">
        <v>29</v>
      </c>
      <c r="C339" s="14">
        <v>31121</v>
      </c>
      <c r="D339" s="17">
        <f t="shared" si="41"/>
        <v>1985</v>
      </c>
      <c r="E339" s="16">
        <f t="shared" si="40"/>
        <v>40</v>
      </c>
      <c r="F339" s="12" t="str">
        <f t="shared" si="42"/>
        <v>40=&lt;60</v>
      </c>
      <c r="G339" s="12" t="s">
        <v>45</v>
      </c>
      <c r="H339" s="13">
        <v>4086.42</v>
      </c>
      <c r="I339" s="12" t="str">
        <f t="shared" si="43"/>
        <v>4000=&lt;5000 AZN</v>
      </c>
      <c r="J339" s="13">
        <v>4782.9399999999996</v>
      </c>
      <c r="K339" s="12" t="str">
        <f t="shared" si="44"/>
        <v>4000=&lt;5000 AZN</v>
      </c>
      <c r="L339" s="13">
        <f t="shared" si="45"/>
        <v>-696.51999999999953</v>
      </c>
      <c r="M339" s="52" t="str">
        <f t="shared" si="46"/>
        <v>menfi</v>
      </c>
      <c r="N339" s="19" t="str">
        <f t="shared" si="47"/>
        <v>Seyran Bayramov 31121</v>
      </c>
    </row>
    <row r="340" spans="1:14" ht="14.25" customHeight="1" x14ac:dyDescent="0.25">
      <c r="A340" s="12" t="s">
        <v>383</v>
      </c>
      <c r="B340" s="12" t="s">
        <v>29</v>
      </c>
      <c r="C340" s="14">
        <v>35576</v>
      </c>
      <c r="D340" s="17">
        <f t="shared" si="41"/>
        <v>1997</v>
      </c>
      <c r="E340" s="16">
        <f t="shared" si="40"/>
        <v>28</v>
      </c>
      <c r="F340" s="12" t="str">
        <f t="shared" si="42"/>
        <v>20=&lt;30</v>
      </c>
      <c r="G340" s="12" t="s">
        <v>60</v>
      </c>
      <c r="H340" s="13">
        <v>3823.21</v>
      </c>
      <c r="I340" s="12" t="str">
        <f t="shared" si="43"/>
        <v>3000=&lt;4000 AZN</v>
      </c>
      <c r="J340" s="13">
        <v>1494.58</v>
      </c>
      <c r="K340" s="12" t="str">
        <f t="shared" si="44"/>
        <v>1000=&lt;2000 AZN</v>
      </c>
      <c r="L340" s="13">
        <f t="shared" si="45"/>
        <v>2328.63</v>
      </c>
      <c r="M340" s="52" t="str">
        <f t="shared" si="46"/>
        <v>musbet</v>
      </c>
      <c r="N340" s="19" t="str">
        <f t="shared" si="47"/>
        <v>Turxan Bayramov 35576</v>
      </c>
    </row>
    <row r="341" spans="1:14" ht="14.25" customHeight="1" x14ac:dyDescent="0.25">
      <c r="A341" s="12" t="s">
        <v>384</v>
      </c>
      <c r="B341" s="12" t="s">
        <v>28</v>
      </c>
      <c r="C341" s="14">
        <v>22066</v>
      </c>
      <c r="D341" s="17">
        <f t="shared" si="41"/>
        <v>1960</v>
      </c>
      <c r="E341" s="16">
        <f t="shared" si="40"/>
        <v>65</v>
      </c>
      <c r="F341" s="12" t="str">
        <f t="shared" si="42"/>
        <v>60=&lt;</v>
      </c>
      <c r="G341" s="12" t="s">
        <v>42</v>
      </c>
      <c r="H341" s="13">
        <v>1784.23</v>
      </c>
      <c r="I341" s="12" t="str">
        <f t="shared" si="43"/>
        <v>1000=&lt;2000 AZN</v>
      </c>
      <c r="J341" s="13">
        <v>854.67</v>
      </c>
      <c r="K341" s="12" t="str">
        <f t="shared" si="44"/>
        <v>&lt;1000 AZN</v>
      </c>
      <c r="L341" s="13">
        <f t="shared" si="45"/>
        <v>929.56000000000006</v>
      </c>
      <c r="M341" s="52" t="str">
        <f t="shared" si="46"/>
        <v>musbet</v>
      </c>
      <c r="N341" s="19" t="str">
        <f t="shared" si="47"/>
        <v>Oqtay Mirzəyev 22066</v>
      </c>
    </row>
    <row r="342" spans="1:14" ht="14.25" customHeight="1" x14ac:dyDescent="0.25">
      <c r="A342" s="12" t="s">
        <v>385</v>
      </c>
      <c r="B342" s="12" t="s">
        <v>26</v>
      </c>
      <c r="C342" s="14">
        <v>26923</v>
      </c>
      <c r="D342" s="17">
        <f t="shared" si="41"/>
        <v>1973</v>
      </c>
      <c r="E342" s="16">
        <f t="shared" si="40"/>
        <v>52</v>
      </c>
      <c r="F342" s="12" t="str">
        <f t="shared" si="42"/>
        <v>40=&lt;60</v>
      </c>
      <c r="G342" s="12" t="s">
        <v>42</v>
      </c>
      <c r="H342" s="13">
        <v>758.37</v>
      </c>
      <c r="I342" s="12" t="str">
        <f t="shared" si="43"/>
        <v>&lt;1000 AZN</v>
      </c>
      <c r="J342" s="13">
        <v>1489.36</v>
      </c>
      <c r="K342" s="12" t="str">
        <f t="shared" si="44"/>
        <v>1000=&lt;2000 AZN</v>
      </c>
      <c r="L342" s="13">
        <f t="shared" si="45"/>
        <v>-730.9899999999999</v>
      </c>
      <c r="M342" s="52" t="str">
        <f t="shared" si="46"/>
        <v>menfi</v>
      </c>
      <c r="N342" s="19" t="str">
        <f t="shared" si="47"/>
        <v>Arif Həsənli 26923</v>
      </c>
    </row>
    <row r="343" spans="1:14" ht="14.25" customHeight="1" x14ac:dyDescent="0.25">
      <c r="A343" s="12" t="s">
        <v>386</v>
      </c>
      <c r="B343" s="12" t="s">
        <v>39</v>
      </c>
      <c r="C343" s="14">
        <v>25980</v>
      </c>
      <c r="D343" s="17">
        <f t="shared" si="41"/>
        <v>1971</v>
      </c>
      <c r="E343" s="16">
        <f t="shared" si="40"/>
        <v>54</v>
      </c>
      <c r="F343" s="12" t="str">
        <f t="shared" si="42"/>
        <v>40=&lt;60</v>
      </c>
      <c r="G343" s="12" t="s">
        <v>53</v>
      </c>
      <c r="H343" s="13">
        <v>3301.05</v>
      </c>
      <c r="I343" s="12" t="str">
        <f t="shared" si="43"/>
        <v>3000=&lt;4000 AZN</v>
      </c>
      <c r="J343" s="13">
        <v>1289.3900000000001</v>
      </c>
      <c r="K343" s="12" t="str">
        <f t="shared" si="44"/>
        <v>1000=&lt;2000 AZN</v>
      </c>
      <c r="L343" s="13">
        <f t="shared" si="45"/>
        <v>2011.66</v>
      </c>
      <c r="M343" s="52" t="str">
        <f t="shared" si="46"/>
        <v>musbet</v>
      </c>
      <c r="N343" s="19" t="str">
        <f t="shared" si="47"/>
        <v>Minurə Düzgün 25980</v>
      </c>
    </row>
    <row r="344" spans="1:14" ht="14.25" customHeight="1" x14ac:dyDescent="0.25">
      <c r="A344" s="12" t="s">
        <v>387</v>
      </c>
      <c r="B344" s="12" t="s">
        <v>39</v>
      </c>
      <c r="C344" s="14">
        <v>28076</v>
      </c>
      <c r="D344" s="17">
        <f t="shared" si="41"/>
        <v>1976</v>
      </c>
      <c r="E344" s="16">
        <f t="shared" si="40"/>
        <v>49</v>
      </c>
      <c r="F344" s="12" t="str">
        <f t="shared" si="42"/>
        <v>40=&lt;60</v>
      </c>
      <c r="G344" s="12" t="s">
        <v>51</v>
      </c>
      <c r="H344" s="13">
        <v>1888.21</v>
      </c>
      <c r="I344" s="12" t="str">
        <f t="shared" si="43"/>
        <v>1000=&lt;2000 AZN</v>
      </c>
      <c r="J344" s="13">
        <v>3995.29</v>
      </c>
      <c r="K344" s="12" t="str">
        <f t="shared" si="44"/>
        <v>3000=&lt;4000 AZN</v>
      </c>
      <c r="L344" s="13">
        <f t="shared" si="45"/>
        <v>-2107.08</v>
      </c>
      <c r="M344" s="52" t="str">
        <f t="shared" si="46"/>
        <v>menfi</v>
      </c>
      <c r="N344" s="19" t="str">
        <f t="shared" si="47"/>
        <v>Rəqsanə Düzgün 28076</v>
      </c>
    </row>
    <row r="345" spans="1:14" ht="14.25" customHeight="1" x14ac:dyDescent="0.25">
      <c r="A345" s="12" t="s">
        <v>388</v>
      </c>
      <c r="B345" s="12" t="s">
        <v>30</v>
      </c>
      <c r="C345" s="14">
        <v>26653</v>
      </c>
      <c r="D345" s="17">
        <f t="shared" si="41"/>
        <v>1972</v>
      </c>
      <c r="E345" s="16">
        <f t="shared" si="40"/>
        <v>53</v>
      </c>
      <c r="F345" s="12" t="str">
        <f t="shared" si="42"/>
        <v>40=&lt;60</v>
      </c>
      <c r="G345" s="12" t="s">
        <v>58</v>
      </c>
      <c r="H345" s="13">
        <v>1313.58</v>
      </c>
      <c r="I345" s="12" t="str">
        <f t="shared" si="43"/>
        <v>1000=&lt;2000 AZN</v>
      </c>
      <c r="J345" s="13">
        <v>2140.5</v>
      </c>
      <c r="K345" s="12" t="str">
        <f t="shared" si="44"/>
        <v>2000=&lt;3000 AZN</v>
      </c>
      <c r="L345" s="13">
        <f t="shared" si="45"/>
        <v>-826.92000000000007</v>
      </c>
      <c r="M345" s="52" t="str">
        <f t="shared" si="46"/>
        <v>menfi</v>
      </c>
      <c r="N345" s="19" t="str">
        <f t="shared" si="47"/>
        <v>Aqil Bəktaşi 26653</v>
      </c>
    </row>
    <row r="346" spans="1:14" ht="14.25" customHeight="1" x14ac:dyDescent="0.25">
      <c r="A346" s="12" t="s">
        <v>389</v>
      </c>
      <c r="B346" s="12" t="s">
        <v>28</v>
      </c>
      <c r="C346" s="14">
        <v>37486</v>
      </c>
      <c r="D346" s="17">
        <f t="shared" si="41"/>
        <v>2002</v>
      </c>
      <c r="E346" s="16">
        <f t="shared" si="40"/>
        <v>23</v>
      </c>
      <c r="F346" s="12" t="str">
        <f t="shared" si="42"/>
        <v>20=&lt;30</v>
      </c>
      <c r="G346" s="12" t="s">
        <v>53</v>
      </c>
      <c r="H346" s="13">
        <v>1792.72</v>
      </c>
      <c r="I346" s="12" t="str">
        <f t="shared" si="43"/>
        <v>1000=&lt;2000 AZN</v>
      </c>
      <c r="J346" s="13">
        <v>1518.73</v>
      </c>
      <c r="K346" s="12" t="str">
        <f t="shared" si="44"/>
        <v>1000=&lt;2000 AZN</v>
      </c>
      <c r="L346" s="13">
        <f t="shared" si="45"/>
        <v>273.99</v>
      </c>
      <c r="M346" s="52" t="str">
        <f t="shared" si="46"/>
        <v>musbet</v>
      </c>
      <c r="N346" s="19" t="str">
        <f t="shared" si="47"/>
        <v>İslam Mirzəyev 37486</v>
      </c>
    </row>
    <row r="347" spans="1:14" ht="14.25" customHeight="1" x14ac:dyDescent="0.25">
      <c r="A347" s="12" t="s">
        <v>390</v>
      </c>
      <c r="B347" s="12" t="s">
        <v>48</v>
      </c>
      <c r="C347" s="14">
        <v>31667</v>
      </c>
      <c r="D347" s="17">
        <f t="shared" si="41"/>
        <v>1986</v>
      </c>
      <c r="E347" s="16">
        <f t="shared" si="40"/>
        <v>39</v>
      </c>
      <c r="F347" s="12" t="str">
        <f t="shared" si="42"/>
        <v>30=&lt;40</v>
      </c>
      <c r="G347" s="12" t="s">
        <v>49</v>
      </c>
      <c r="H347" s="13">
        <v>1543.49</v>
      </c>
      <c r="I347" s="12" t="str">
        <f t="shared" si="43"/>
        <v>1000=&lt;2000 AZN</v>
      </c>
      <c r="J347" s="13">
        <v>4832.49</v>
      </c>
      <c r="K347" s="12" t="str">
        <f t="shared" si="44"/>
        <v>4000=&lt;5000 AZN</v>
      </c>
      <c r="L347" s="13">
        <f t="shared" si="45"/>
        <v>-3289</v>
      </c>
      <c r="M347" s="52" t="str">
        <f t="shared" si="46"/>
        <v>menfi</v>
      </c>
      <c r="N347" s="19" t="str">
        <f t="shared" si="47"/>
        <v>Zamin Abbasbəyli 31667</v>
      </c>
    </row>
    <row r="348" spans="1:14" ht="14.25" customHeight="1" x14ac:dyDescent="0.25">
      <c r="A348" s="12" t="s">
        <v>391</v>
      </c>
      <c r="B348" s="12" t="s">
        <v>28</v>
      </c>
      <c r="C348" s="14">
        <v>37370</v>
      </c>
      <c r="D348" s="17">
        <f t="shared" si="41"/>
        <v>2002</v>
      </c>
      <c r="E348" s="16">
        <f t="shared" si="40"/>
        <v>23</v>
      </c>
      <c r="F348" s="12" t="str">
        <f t="shared" si="42"/>
        <v>20=&lt;30</v>
      </c>
      <c r="G348" s="12" t="s">
        <v>45</v>
      </c>
      <c r="H348" s="13">
        <v>2330.5500000000002</v>
      </c>
      <c r="I348" s="12" t="str">
        <f t="shared" si="43"/>
        <v>2000=&lt;3000 AZN</v>
      </c>
      <c r="J348" s="13">
        <v>1444.63</v>
      </c>
      <c r="K348" s="12" t="str">
        <f t="shared" si="44"/>
        <v>1000=&lt;2000 AZN</v>
      </c>
      <c r="L348" s="13">
        <f t="shared" si="45"/>
        <v>885.92000000000007</v>
      </c>
      <c r="M348" s="52" t="str">
        <f t="shared" si="46"/>
        <v>musbet</v>
      </c>
      <c r="N348" s="19" t="str">
        <f t="shared" si="47"/>
        <v>Yasin Mirzəyev 37370</v>
      </c>
    </row>
    <row r="349" spans="1:14" ht="14.25" customHeight="1" x14ac:dyDescent="0.25">
      <c r="A349" s="12" t="s">
        <v>382</v>
      </c>
      <c r="B349" s="12" t="s">
        <v>27</v>
      </c>
      <c r="C349" s="14">
        <v>22802</v>
      </c>
      <c r="D349" s="17">
        <f t="shared" si="41"/>
        <v>1962</v>
      </c>
      <c r="E349" s="16">
        <f t="shared" si="40"/>
        <v>63</v>
      </c>
      <c r="F349" s="12" t="str">
        <f t="shared" si="42"/>
        <v>60=&lt;</v>
      </c>
      <c r="G349" s="12" t="s">
        <v>49</v>
      </c>
      <c r="H349" s="13">
        <v>2929</v>
      </c>
      <c r="I349" s="12" t="str">
        <f t="shared" si="43"/>
        <v>2000=&lt;3000 AZN</v>
      </c>
      <c r="J349" s="13">
        <v>1306.28</v>
      </c>
      <c r="K349" s="12" t="str">
        <f t="shared" si="44"/>
        <v>1000=&lt;2000 AZN</v>
      </c>
      <c r="L349" s="13">
        <f t="shared" si="45"/>
        <v>1622.72</v>
      </c>
      <c r="M349" s="52" t="str">
        <f t="shared" si="46"/>
        <v>musbet</v>
      </c>
      <c r="N349" s="19" t="str">
        <f t="shared" si="47"/>
        <v>Seyran Vurğun 22802</v>
      </c>
    </row>
    <row r="350" spans="1:14" ht="14.25" customHeight="1" x14ac:dyDescent="0.25">
      <c r="A350" s="12" t="s">
        <v>392</v>
      </c>
      <c r="B350" s="12" t="s">
        <v>65</v>
      </c>
      <c r="C350" s="14">
        <v>23560</v>
      </c>
      <c r="D350" s="17">
        <f t="shared" si="41"/>
        <v>1964</v>
      </c>
      <c r="E350" s="16">
        <f t="shared" si="40"/>
        <v>61</v>
      </c>
      <c r="F350" s="12" t="str">
        <f t="shared" si="42"/>
        <v>60=&lt;</v>
      </c>
      <c r="G350" s="12" t="s">
        <v>45</v>
      </c>
      <c r="H350" s="13">
        <v>1374.08</v>
      </c>
      <c r="I350" s="12" t="str">
        <f t="shared" si="43"/>
        <v>1000=&lt;2000 AZN</v>
      </c>
      <c r="J350" s="13">
        <v>3057.86</v>
      </c>
      <c r="K350" s="12" t="str">
        <f t="shared" si="44"/>
        <v>3000=&lt;4000 AZN</v>
      </c>
      <c r="L350" s="13">
        <f t="shared" si="45"/>
        <v>-1683.7800000000002</v>
      </c>
      <c r="M350" s="52" t="str">
        <f t="shared" si="46"/>
        <v>menfi</v>
      </c>
      <c r="N350" s="19" t="str">
        <f t="shared" si="47"/>
        <v>Nahidə Cabbarov 23560</v>
      </c>
    </row>
    <row r="351" spans="1:14" ht="14.25" customHeight="1" x14ac:dyDescent="0.25">
      <c r="A351" s="12" t="s">
        <v>393</v>
      </c>
      <c r="B351" s="12" t="s">
        <v>26</v>
      </c>
      <c r="C351" s="14">
        <v>34816</v>
      </c>
      <c r="D351" s="17">
        <f t="shared" si="41"/>
        <v>1995</v>
      </c>
      <c r="E351" s="16">
        <f t="shared" si="40"/>
        <v>30</v>
      </c>
      <c r="F351" s="12" t="str">
        <f t="shared" si="42"/>
        <v>30=&lt;40</v>
      </c>
      <c r="G351" s="12" t="s">
        <v>42</v>
      </c>
      <c r="H351" s="13">
        <v>4262.37</v>
      </c>
      <c r="I351" s="12" t="str">
        <f t="shared" si="43"/>
        <v>4000=&lt;5000 AZN</v>
      </c>
      <c r="J351" s="13">
        <v>4295.01</v>
      </c>
      <c r="K351" s="12" t="str">
        <f t="shared" si="44"/>
        <v>4000=&lt;5000 AZN</v>
      </c>
      <c r="L351" s="13">
        <f t="shared" si="45"/>
        <v>-32.640000000000327</v>
      </c>
      <c r="M351" s="52" t="str">
        <f t="shared" si="46"/>
        <v>menfi</v>
      </c>
      <c r="N351" s="19" t="str">
        <f t="shared" si="47"/>
        <v>Nanə Həsənli 34816</v>
      </c>
    </row>
    <row r="352" spans="1:14" ht="14.25" customHeight="1" x14ac:dyDescent="0.25">
      <c r="A352" s="12" t="s">
        <v>394</v>
      </c>
      <c r="B352" s="12" t="s">
        <v>27</v>
      </c>
      <c r="C352" s="14">
        <v>32858</v>
      </c>
      <c r="D352" s="17">
        <f t="shared" si="41"/>
        <v>1989</v>
      </c>
      <c r="E352" s="16">
        <f t="shared" si="40"/>
        <v>36</v>
      </c>
      <c r="F352" s="12" t="str">
        <f t="shared" si="42"/>
        <v>30=&lt;40</v>
      </c>
      <c r="G352" s="12" t="s">
        <v>66</v>
      </c>
      <c r="H352" s="13">
        <v>3744.51</v>
      </c>
      <c r="I352" s="12" t="str">
        <f t="shared" si="43"/>
        <v>3000=&lt;4000 AZN</v>
      </c>
      <c r="J352" s="13">
        <v>1093.57</v>
      </c>
      <c r="K352" s="12" t="str">
        <f t="shared" si="44"/>
        <v>1000=&lt;2000 AZN</v>
      </c>
      <c r="L352" s="13">
        <f t="shared" si="45"/>
        <v>2650.9400000000005</v>
      </c>
      <c r="M352" s="52" t="str">
        <f t="shared" si="46"/>
        <v>musbet</v>
      </c>
      <c r="N352" s="19" t="str">
        <f t="shared" si="47"/>
        <v>Fərid Vurğun 32858</v>
      </c>
    </row>
    <row r="353" spans="1:14" ht="14.25" customHeight="1" x14ac:dyDescent="0.25">
      <c r="A353" s="12" t="s">
        <v>395</v>
      </c>
      <c r="B353" s="12" t="s">
        <v>65</v>
      </c>
      <c r="C353" s="14">
        <v>28724</v>
      </c>
      <c r="D353" s="17">
        <f t="shared" si="41"/>
        <v>1978</v>
      </c>
      <c r="E353" s="16">
        <f t="shared" si="40"/>
        <v>47</v>
      </c>
      <c r="F353" s="12" t="str">
        <f t="shared" si="42"/>
        <v>40=&lt;60</v>
      </c>
      <c r="G353" s="12" t="s">
        <v>45</v>
      </c>
      <c r="H353" s="13">
        <v>3234.17</v>
      </c>
      <c r="I353" s="12" t="str">
        <f t="shared" si="43"/>
        <v>3000=&lt;4000 AZN</v>
      </c>
      <c r="J353" s="13">
        <v>3283.37</v>
      </c>
      <c r="K353" s="12" t="str">
        <f t="shared" si="44"/>
        <v>3000=&lt;4000 AZN</v>
      </c>
      <c r="L353" s="13">
        <f t="shared" si="45"/>
        <v>-49.199999999999818</v>
      </c>
      <c r="M353" s="52" t="str">
        <f t="shared" si="46"/>
        <v>menfi</v>
      </c>
      <c r="N353" s="19" t="str">
        <f t="shared" si="47"/>
        <v>Şəlalə Cabbarov 28724</v>
      </c>
    </row>
    <row r="354" spans="1:14" ht="14.25" customHeight="1" x14ac:dyDescent="0.25">
      <c r="A354" s="12" t="s">
        <v>396</v>
      </c>
      <c r="B354" s="12" t="s">
        <v>65</v>
      </c>
      <c r="C354" s="14">
        <v>26731</v>
      </c>
      <c r="D354" s="17">
        <f t="shared" si="41"/>
        <v>1973</v>
      </c>
      <c r="E354" s="16">
        <f t="shared" si="40"/>
        <v>52</v>
      </c>
      <c r="F354" s="12" t="str">
        <f t="shared" si="42"/>
        <v>40=&lt;60</v>
      </c>
      <c r="G354" s="12" t="s">
        <v>63</v>
      </c>
      <c r="H354" s="13">
        <v>2350.83</v>
      </c>
      <c r="I354" s="12" t="str">
        <f t="shared" si="43"/>
        <v>2000=&lt;3000 AZN</v>
      </c>
      <c r="J354" s="13">
        <v>2616.1</v>
      </c>
      <c r="K354" s="12" t="str">
        <f t="shared" si="44"/>
        <v>2000=&lt;3000 AZN</v>
      </c>
      <c r="L354" s="13">
        <f t="shared" si="45"/>
        <v>-265.27</v>
      </c>
      <c r="M354" s="52" t="str">
        <f t="shared" si="46"/>
        <v>menfi</v>
      </c>
      <c r="N354" s="19" t="str">
        <f t="shared" si="47"/>
        <v>Ziya Cabbarov 26731</v>
      </c>
    </row>
    <row r="355" spans="1:14" ht="14.25" customHeight="1" x14ac:dyDescent="0.25">
      <c r="A355" s="12" t="s">
        <v>397</v>
      </c>
      <c r="B355" s="12" t="s">
        <v>56</v>
      </c>
      <c r="C355" s="14">
        <v>26773</v>
      </c>
      <c r="D355" s="17">
        <f t="shared" si="41"/>
        <v>1973</v>
      </c>
      <c r="E355" s="16">
        <f t="shared" si="40"/>
        <v>52</v>
      </c>
      <c r="F355" s="12" t="str">
        <f t="shared" si="42"/>
        <v>40=&lt;60</v>
      </c>
      <c r="G355" s="12" t="s">
        <v>45</v>
      </c>
      <c r="H355" s="13">
        <v>1935.26</v>
      </c>
      <c r="I355" s="12" t="str">
        <f t="shared" si="43"/>
        <v>1000=&lt;2000 AZN</v>
      </c>
      <c r="J355" s="13">
        <v>2615.36</v>
      </c>
      <c r="K355" s="12" t="str">
        <f t="shared" si="44"/>
        <v>2000=&lt;3000 AZN</v>
      </c>
      <c r="L355" s="13">
        <f t="shared" si="45"/>
        <v>-680.10000000000014</v>
      </c>
      <c r="M355" s="52" t="str">
        <f t="shared" si="46"/>
        <v>menfi</v>
      </c>
      <c r="N355" s="19" t="str">
        <f t="shared" si="47"/>
        <v>Ümid Talıbzadə 26773</v>
      </c>
    </row>
    <row r="356" spans="1:14" ht="14.25" customHeight="1" x14ac:dyDescent="0.25">
      <c r="A356" s="12" t="s">
        <v>398</v>
      </c>
      <c r="B356" s="12" t="s">
        <v>28</v>
      </c>
      <c r="C356" s="14">
        <v>31014</v>
      </c>
      <c r="D356" s="17">
        <f t="shared" si="41"/>
        <v>1984</v>
      </c>
      <c r="E356" s="16">
        <f t="shared" si="40"/>
        <v>41</v>
      </c>
      <c r="F356" s="12" t="str">
        <f t="shared" si="42"/>
        <v>40=&lt;60</v>
      </c>
      <c r="G356" s="12" t="s">
        <v>60</v>
      </c>
      <c r="H356" s="13">
        <v>4906.84</v>
      </c>
      <c r="I356" s="12" t="str">
        <f t="shared" si="43"/>
        <v>4000=&lt;5000 AZN</v>
      </c>
      <c r="J356" s="13">
        <v>4217.96</v>
      </c>
      <c r="K356" s="12" t="str">
        <f t="shared" si="44"/>
        <v>4000=&lt;5000 AZN</v>
      </c>
      <c r="L356" s="13">
        <f t="shared" si="45"/>
        <v>688.88000000000011</v>
      </c>
      <c r="M356" s="52" t="str">
        <f t="shared" si="46"/>
        <v>musbet</v>
      </c>
      <c r="N356" s="19" t="str">
        <f t="shared" si="47"/>
        <v>Dilşad Mirzəyev 31014</v>
      </c>
    </row>
    <row r="357" spans="1:14" ht="14.25" customHeight="1" x14ac:dyDescent="0.25">
      <c r="A357" s="12" t="s">
        <v>399</v>
      </c>
      <c r="B357" s="12" t="s">
        <v>39</v>
      </c>
      <c r="C357" s="14">
        <v>31451</v>
      </c>
      <c r="D357" s="17">
        <f t="shared" si="41"/>
        <v>1986</v>
      </c>
      <c r="E357" s="16">
        <f t="shared" si="40"/>
        <v>39</v>
      </c>
      <c r="F357" s="12" t="str">
        <f t="shared" si="42"/>
        <v>30=&lt;40</v>
      </c>
      <c r="G357" s="12" t="s">
        <v>58</v>
      </c>
      <c r="H357" s="13">
        <v>2359.0100000000002</v>
      </c>
      <c r="I357" s="12" t="str">
        <f t="shared" si="43"/>
        <v>2000=&lt;3000 AZN</v>
      </c>
      <c r="J357" s="13">
        <v>4183.0200000000004</v>
      </c>
      <c r="K357" s="12" t="str">
        <f t="shared" si="44"/>
        <v>4000=&lt;5000 AZN</v>
      </c>
      <c r="L357" s="13">
        <f t="shared" si="45"/>
        <v>-1824.0100000000002</v>
      </c>
      <c r="M357" s="52" t="str">
        <f t="shared" si="46"/>
        <v>menfi</v>
      </c>
      <c r="N357" s="19" t="str">
        <f t="shared" si="47"/>
        <v>Faiq Düzgün 31451</v>
      </c>
    </row>
    <row r="358" spans="1:14" ht="14.25" customHeight="1" x14ac:dyDescent="0.25">
      <c r="A358" s="12" t="s">
        <v>400</v>
      </c>
      <c r="B358" s="12" t="s">
        <v>28</v>
      </c>
      <c r="C358" s="14">
        <v>31966</v>
      </c>
      <c r="D358" s="17">
        <f t="shared" si="41"/>
        <v>1987</v>
      </c>
      <c r="E358" s="16">
        <f t="shared" si="40"/>
        <v>38</v>
      </c>
      <c r="F358" s="12" t="str">
        <f t="shared" si="42"/>
        <v>30=&lt;40</v>
      </c>
      <c r="G358" s="12" t="s">
        <v>49</v>
      </c>
      <c r="H358" s="13">
        <v>4527.58</v>
      </c>
      <c r="I358" s="12" t="str">
        <f t="shared" si="43"/>
        <v>4000=&lt;5000 AZN</v>
      </c>
      <c r="J358" s="13">
        <v>4436.09</v>
      </c>
      <c r="K358" s="12" t="str">
        <f t="shared" si="44"/>
        <v>4000=&lt;5000 AZN</v>
      </c>
      <c r="L358" s="13">
        <f t="shared" si="45"/>
        <v>91.489999999999782</v>
      </c>
      <c r="M358" s="52" t="str">
        <f t="shared" si="46"/>
        <v>musbet</v>
      </c>
      <c r="N358" s="19" t="str">
        <f t="shared" si="47"/>
        <v>Fərhad Mirzəyev 31966</v>
      </c>
    </row>
    <row r="359" spans="1:14" ht="14.25" customHeight="1" x14ac:dyDescent="0.25">
      <c r="A359" s="12" t="s">
        <v>401</v>
      </c>
      <c r="B359" s="12" t="s">
        <v>39</v>
      </c>
      <c r="C359" s="14">
        <v>25498</v>
      </c>
      <c r="D359" s="17">
        <f t="shared" si="41"/>
        <v>1969</v>
      </c>
      <c r="E359" s="16">
        <f t="shared" si="40"/>
        <v>56</v>
      </c>
      <c r="F359" s="12" t="str">
        <f t="shared" si="42"/>
        <v>40=&lt;60</v>
      </c>
      <c r="G359" s="12" t="s">
        <v>63</v>
      </c>
      <c r="H359" s="13">
        <v>4220.2299999999996</v>
      </c>
      <c r="I359" s="12" t="str">
        <f t="shared" si="43"/>
        <v>4000=&lt;5000 AZN</v>
      </c>
      <c r="J359" s="13">
        <v>3644.78</v>
      </c>
      <c r="K359" s="12" t="str">
        <f t="shared" si="44"/>
        <v>3000=&lt;4000 AZN</v>
      </c>
      <c r="L359" s="13">
        <f t="shared" si="45"/>
        <v>575.44999999999936</v>
      </c>
      <c r="M359" s="52" t="str">
        <f t="shared" si="46"/>
        <v>musbet</v>
      </c>
      <c r="N359" s="19" t="str">
        <f t="shared" si="47"/>
        <v>Müzəffər Düzgün 25498</v>
      </c>
    </row>
    <row r="360" spans="1:14" ht="14.25" customHeight="1" x14ac:dyDescent="0.25">
      <c r="A360" s="12" t="s">
        <v>402</v>
      </c>
      <c r="B360" s="12" t="s">
        <v>29</v>
      </c>
      <c r="C360" s="14">
        <v>25232</v>
      </c>
      <c r="D360" s="17">
        <f t="shared" si="41"/>
        <v>1969</v>
      </c>
      <c r="E360" s="16">
        <f t="shared" si="40"/>
        <v>56</v>
      </c>
      <c r="F360" s="12" t="str">
        <f t="shared" si="42"/>
        <v>40=&lt;60</v>
      </c>
      <c r="G360" s="12" t="s">
        <v>66</v>
      </c>
      <c r="H360" s="13">
        <v>433.73</v>
      </c>
      <c r="I360" s="12" t="str">
        <f t="shared" si="43"/>
        <v>&lt;1000 AZN</v>
      </c>
      <c r="J360" s="13">
        <v>4847.47</v>
      </c>
      <c r="K360" s="12" t="str">
        <f t="shared" si="44"/>
        <v>4000=&lt;5000 AZN</v>
      </c>
      <c r="L360" s="13">
        <f t="shared" si="45"/>
        <v>-4413.74</v>
      </c>
      <c r="M360" s="52" t="str">
        <f t="shared" si="46"/>
        <v>menfi</v>
      </c>
      <c r="N360" s="19" t="str">
        <f t="shared" si="47"/>
        <v>Habil Bayramov 25232</v>
      </c>
    </row>
    <row r="361" spans="1:14" ht="14.25" customHeight="1" x14ac:dyDescent="0.25">
      <c r="A361" s="12" t="s">
        <v>403</v>
      </c>
      <c r="B361" s="12" t="s">
        <v>26</v>
      </c>
      <c r="C361" s="14">
        <v>33139</v>
      </c>
      <c r="D361" s="17">
        <f t="shared" si="41"/>
        <v>1990</v>
      </c>
      <c r="E361" s="16">
        <f t="shared" si="40"/>
        <v>35</v>
      </c>
      <c r="F361" s="12" t="str">
        <f t="shared" si="42"/>
        <v>30=&lt;40</v>
      </c>
      <c r="G361" s="12" t="s">
        <v>49</v>
      </c>
      <c r="H361" s="13">
        <v>2176.94</v>
      </c>
      <c r="I361" s="12" t="str">
        <f t="shared" si="43"/>
        <v>2000=&lt;3000 AZN</v>
      </c>
      <c r="J361" s="13">
        <v>2252.3000000000002</v>
      </c>
      <c r="K361" s="12" t="str">
        <f t="shared" si="44"/>
        <v>2000=&lt;3000 AZN</v>
      </c>
      <c r="L361" s="13">
        <f t="shared" si="45"/>
        <v>-75.360000000000127</v>
      </c>
      <c r="M361" s="52" t="str">
        <f t="shared" si="46"/>
        <v>menfi</v>
      </c>
      <c r="N361" s="19" t="str">
        <f t="shared" si="47"/>
        <v>Vüsal Həsənli 33139</v>
      </c>
    </row>
    <row r="362" spans="1:14" ht="14.25" customHeight="1" x14ac:dyDescent="0.25">
      <c r="A362" s="12" t="s">
        <v>404</v>
      </c>
      <c r="B362" s="12" t="s">
        <v>65</v>
      </c>
      <c r="C362" s="14">
        <v>32050</v>
      </c>
      <c r="D362" s="17">
        <f t="shared" si="41"/>
        <v>1987</v>
      </c>
      <c r="E362" s="16">
        <f t="shared" si="40"/>
        <v>38</v>
      </c>
      <c r="F362" s="12" t="str">
        <f t="shared" si="42"/>
        <v>30=&lt;40</v>
      </c>
      <c r="G362" s="12" t="s">
        <v>49</v>
      </c>
      <c r="H362" s="13">
        <v>1499.41</v>
      </c>
      <c r="I362" s="12" t="str">
        <f t="shared" si="43"/>
        <v>1000=&lt;2000 AZN</v>
      </c>
      <c r="J362" s="13">
        <v>2253.27</v>
      </c>
      <c r="K362" s="12" t="str">
        <f t="shared" si="44"/>
        <v>2000=&lt;3000 AZN</v>
      </c>
      <c r="L362" s="13">
        <f t="shared" si="45"/>
        <v>-753.8599999999999</v>
      </c>
      <c r="M362" s="52" t="str">
        <f t="shared" si="46"/>
        <v>menfi</v>
      </c>
      <c r="N362" s="19" t="str">
        <f t="shared" si="47"/>
        <v>Müntəzir Cabbarov 32050</v>
      </c>
    </row>
    <row r="363" spans="1:14" ht="14.25" customHeight="1" x14ac:dyDescent="0.25">
      <c r="A363" s="12" t="s">
        <v>405</v>
      </c>
      <c r="B363" s="12" t="s">
        <v>56</v>
      </c>
      <c r="C363" s="14">
        <v>26463</v>
      </c>
      <c r="D363" s="17">
        <f t="shared" si="41"/>
        <v>1972</v>
      </c>
      <c r="E363" s="16">
        <f t="shared" si="40"/>
        <v>53</v>
      </c>
      <c r="F363" s="12" t="str">
        <f t="shared" si="42"/>
        <v>40=&lt;60</v>
      </c>
      <c r="G363" s="12" t="s">
        <v>49</v>
      </c>
      <c r="H363" s="13">
        <v>3438.08</v>
      </c>
      <c r="I363" s="12" t="str">
        <f t="shared" si="43"/>
        <v>3000=&lt;4000 AZN</v>
      </c>
      <c r="J363" s="13">
        <v>862.03</v>
      </c>
      <c r="K363" s="12" t="str">
        <f t="shared" si="44"/>
        <v>&lt;1000 AZN</v>
      </c>
      <c r="L363" s="13">
        <f t="shared" si="45"/>
        <v>2576.0500000000002</v>
      </c>
      <c r="M363" s="52" t="str">
        <f t="shared" si="46"/>
        <v>musbet</v>
      </c>
      <c r="N363" s="19" t="str">
        <f t="shared" si="47"/>
        <v>Şərəfəddin Talıbzadə 26463</v>
      </c>
    </row>
    <row r="364" spans="1:14" ht="14.25" customHeight="1" x14ac:dyDescent="0.25">
      <c r="A364" s="12" t="s">
        <v>406</v>
      </c>
      <c r="B364" s="12" t="s">
        <v>44</v>
      </c>
      <c r="C364" s="14">
        <v>28720</v>
      </c>
      <c r="D364" s="17">
        <f t="shared" si="41"/>
        <v>1978</v>
      </c>
      <c r="E364" s="16">
        <f t="shared" si="40"/>
        <v>47</v>
      </c>
      <c r="F364" s="12" t="str">
        <f t="shared" si="42"/>
        <v>40=&lt;60</v>
      </c>
      <c r="G364" s="12" t="s">
        <v>60</v>
      </c>
      <c r="H364" s="13">
        <v>4837.72</v>
      </c>
      <c r="I364" s="12" t="str">
        <f t="shared" si="43"/>
        <v>4000=&lt;5000 AZN</v>
      </c>
      <c r="J364" s="13">
        <v>1034.03</v>
      </c>
      <c r="K364" s="12" t="str">
        <f t="shared" si="44"/>
        <v>1000=&lt;2000 AZN</v>
      </c>
      <c r="L364" s="13">
        <f t="shared" si="45"/>
        <v>3803.6900000000005</v>
      </c>
      <c r="M364" s="52" t="str">
        <f t="shared" si="46"/>
        <v>musbet</v>
      </c>
      <c r="N364" s="19" t="str">
        <f t="shared" si="47"/>
        <v>Aslan Təhmin 28720</v>
      </c>
    </row>
    <row r="365" spans="1:14" ht="14.25" customHeight="1" x14ac:dyDescent="0.25">
      <c r="A365" s="12" t="s">
        <v>407</v>
      </c>
      <c r="B365" s="12" t="s">
        <v>26</v>
      </c>
      <c r="C365" s="14">
        <v>24972</v>
      </c>
      <c r="D365" s="17">
        <f t="shared" si="41"/>
        <v>1968</v>
      </c>
      <c r="E365" s="16">
        <f t="shared" si="40"/>
        <v>57</v>
      </c>
      <c r="F365" s="12" t="str">
        <f t="shared" si="42"/>
        <v>40=&lt;60</v>
      </c>
      <c r="G365" s="12" t="s">
        <v>51</v>
      </c>
      <c r="H365" s="13">
        <v>426.05</v>
      </c>
      <c r="I365" s="12" t="str">
        <f t="shared" si="43"/>
        <v>&lt;1000 AZN</v>
      </c>
      <c r="J365" s="13">
        <v>4140.5600000000004</v>
      </c>
      <c r="K365" s="12" t="str">
        <f t="shared" si="44"/>
        <v>4000=&lt;5000 AZN</v>
      </c>
      <c r="L365" s="13">
        <f t="shared" si="45"/>
        <v>-3714.51</v>
      </c>
      <c r="M365" s="52" t="str">
        <f t="shared" si="46"/>
        <v>menfi</v>
      </c>
      <c r="N365" s="19" t="str">
        <f t="shared" si="47"/>
        <v>Raifə Həsənli 24972</v>
      </c>
    </row>
    <row r="366" spans="1:14" ht="14.25" customHeight="1" x14ac:dyDescent="0.25">
      <c r="A366" s="12" t="s">
        <v>408</v>
      </c>
      <c r="B366" s="12" t="s">
        <v>30</v>
      </c>
      <c r="C366" s="14">
        <v>28469</v>
      </c>
      <c r="D366" s="17">
        <f t="shared" si="41"/>
        <v>1977</v>
      </c>
      <c r="E366" s="16">
        <f t="shared" si="40"/>
        <v>48</v>
      </c>
      <c r="F366" s="12" t="str">
        <f t="shared" si="42"/>
        <v>40=&lt;60</v>
      </c>
      <c r="G366" s="12" t="s">
        <v>49</v>
      </c>
      <c r="H366" s="13">
        <v>2657.26</v>
      </c>
      <c r="I366" s="12" t="str">
        <f t="shared" si="43"/>
        <v>2000=&lt;3000 AZN</v>
      </c>
      <c r="J366" s="13">
        <v>525.54</v>
      </c>
      <c r="K366" s="12" t="str">
        <f t="shared" si="44"/>
        <v>&lt;1000 AZN</v>
      </c>
      <c r="L366" s="13">
        <f t="shared" si="45"/>
        <v>2131.7200000000003</v>
      </c>
      <c r="M366" s="52" t="str">
        <f t="shared" si="46"/>
        <v>musbet</v>
      </c>
      <c r="N366" s="19" t="str">
        <f t="shared" si="47"/>
        <v>Rəşid Bəktaşi 28469</v>
      </c>
    </row>
    <row r="367" spans="1:14" ht="14.25" customHeight="1" x14ac:dyDescent="0.25">
      <c r="A367" s="12" t="s">
        <v>409</v>
      </c>
      <c r="B367" s="12" t="s">
        <v>27</v>
      </c>
      <c r="C367" s="14">
        <v>22575</v>
      </c>
      <c r="D367" s="17">
        <f t="shared" si="41"/>
        <v>1961</v>
      </c>
      <c r="E367" s="16">
        <f t="shared" si="40"/>
        <v>64</v>
      </c>
      <c r="F367" s="12" t="str">
        <f t="shared" si="42"/>
        <v>60=&lt;</v>
      </c>
      <c r="G367" s="12" t="s">
        <v>58</v>
      </c>
      <c r="H367" s="13">
        <v>4408.2700000000004</v>
      </c>
      <c r="I367" s="12" t="str">
        <f t="shared" si="43"/>
        <v>4000=&lt;5000 AZN</v>
      </c>
      <c r="J367" s="13">
        <v>4203.26</v>
      </c>
      <c r="K367" s="12" t="str">
        <f t="shared" si="44"/>
        <v>4000=&lt;5000 AZN</v>
      </c>
      <c r="L367" s="13">
        <f t="shared" si="45"/>
        <v>205.01000000000022</v>
      </c>
      <c r="M367" s="52" t="str">
        <f t="shared" si="46"/>
        <v>musbet</v>
      </c>
      <c r="N367" s="19" t="str">
        <f t="shared" si="47"/>
        <v>Dilarə Vurğun 22575</v>
      </c>
    </row>
    <row r="368" spans="1:14" ht="14.25" customHeight="1" x14ac:dyDescent="0.25">
      <c r="A368" s="12" t="s">
        <v>410</v>
      </c>
      <c r="B368" s="12" t="s">
        <v>39</v>
      </c>
      <c r="C368" s="14">
        <v>30616</v>
      </c>
      <c r="D368" s="17">
        <f t="shared" si="41"/>
        <v>1983</v>
      </c>
      <c r="E368" s="16">
        <f t="shared" si="40"/>
        <v>42</v>
      </c>
      <c r="F368" s="12" t="str">
        <f t="shared" si="42"/>
        <v>40=&lt;60</v>
      </c>
      <c r="G368" s="12" t="s">
        <v>58</v>
      </c>
      <c r="H368" s="13">
        <v>2572.37</v>
      </c>
      <c r="I368" s="12" t="str">
        <f t="shared" si="43"/>
        <v>2000=&lt;3000 AZN</v>
      </c>
      <c r="J368" s="13">
        <v>1648.93</v>
      </c>
      <c r="K368" s="12" t="str">
        <f t="shared" si="44"/>
        <v>1000=&lt;2000 AZN</v>
      </c>
      <c r="L368" s="13">
        <f t="shared" si="45"/>
        <v>923.43999999999983</v>
      </c>
      <c r="M368" s="52" t="str">
        <f t="shared" si="46"/>
        <v>musbet</v>
      </c>
      <c r="N368" s="19" t="str">
        <f t="shared" si="47"/>
        <v>Eldəniz Düzgün 30616</v>
      </c>
    </row>
    <row r="369" spans="1:14" ht="14.25" customHeight="1" x14ac:dyDescent="0.25">
      <c r="A369" s="12" t="s">
        <v>411</v>
      </c>
      <c r="B369" s="12" t="s">
        <v>28</v>
      </c>
      <c r="C369" s="14">
        <v>34962</v>
      </c>
      <c r="D369" s="17">
        <f t="shared" si="41"/>
        <v>1995</v>
      </c>
      <c r="E369" s="16">
        <f t="shared" si="40"/>
        <v>30</v>
      </c>
      <c r="F369" s="12" t="str">
        <f t="shared" si="42"/>
        <v>30=&lt;40</v>
      </c>
      <c r="G369" s="12" t="s">
        <v>49</v>
      </c>
      <c r="H369" s="13">
        <v>1488.04</v>
      </c>
      <c r="I369" s="12" t="str">
        <f t="shared" si="43"/>
        <v>1000=&lt;2000 AZN</v>
      </c>
      <c r="J369" s="13">
        <v>3100.35</v>
      </c>
      <c r="K369" s="12" t="str">
        <f t="shared" si="44"/>
        <v>3000=&lt;4000 AZN</v>
      </c>
      <c r="L369" s="13">
        <f t="shared" si="45"/>
        <v>-1612.31</v>
      </c>
      <c r="M369" s="52" t="str">
        <f t="shared" si="46"/>
        <v>menfi</v>
      </c>
      <c r="N369" s="19" t="str">
        <f t="shared" si="47"/>
        <v>Kövsər Mirzəyev 34962</v>
      </c>
    </row>
    <row r="370" spans="1:14" ht="14.25" customHeight="1" x14ac:dyDescent="0.25">
      <c r="A370" s="12" t="s">
        <v>412</v>
      </c>
      <c r="B370" s="12" t="s">
        <v>28</v>
      </c>
      <c r="C370" s="14">
        <v>27923</v>
      </c>
      <c r="D370" s="17">
        <f t="shared" si="41"/>
        <v>1976</v>
      </c>
      <c r="E370" s="16">
        <f t="shared" si="40"/>
        <v>49</v>
      </c>
      <c r="F370" s="12" t="str">
        <f t="shared" si="42"/>
        <v>40=&lt;60</v>
      </c>
      <c r="G370" s="12" t="s">
        <v>53</v>
      </c>
      <c r="H370" s="13">
        <v>1065.3</v>
      </c>
      <c r="I370" s="12" t="str">
        <f t="shared" si="43"/>
        <v>1000=&lt;2000 AZN</v>
      </c>
      <c r="J370" s="13">
        <v>3620.7</v>
      </c>
      <c r="K370" s="12" t="str">
        <f t="shared" si="44"/>
        <v>3000=&lt;4000 AZN</v>
      </c>
      <c r="L370" s="13">
        <f t="shared" si="45"/>
        <v>-2555.3999999999996</v>
      </c>
      <c r="M370" s="52" t="str">
        <f t="shared" si="46"/>
        <v>menfi</v>
      </c>
      <c r="N370" s="19" t="str">
        <f t="shared" si="47"/>
        <v>Nihad Mirzəyev 27923</v>
      </c>
    </row>
    <row r="371" spans="1:14" ht="14.25" customHeight="1" x14ac:dyDescent="0.25">
      <c r="A371" s="12" t="s">
        <v>413</v>
      </c>
      <c r="B371" s="12" t="s">
        <v>44</v>
      </c>
      <c r="C371" s="14">
        <v>26958</v>
      </c>
      <c r="D371" s="17">
        <f t="shared" si="41"/>
        <v>1973</v>
      </c>
      <c r="E371" s="16">
        <f t="shared" si="40"/>
        <v>52</v>
      </c>
      <c r="F371" s="12" t="str">
        <f t="shared" si="42"/>
        <v>40=&lt;60</v>
      </c>
      <c r="G371" s="12" t="s">
        <v>53</v>
      </c>
      <c r="H371" s="13">
        <v>2688.09</v>
      </c>
      <c r="I371" s="12" t="str">
        <f t="shared" si="43"/>
        <v>2000=&lt;3000 AZN</v>
      </c>
      <c r="J371" s="13">
        <v>1344.79</v>
      </c>
      <c r="K371" s="12" t="str">
        <f t="shared" si="44"/>
        <v>1000=&lt;2000 AZN</v>
      </c>
      <c r="L371" s="13">
        <f t="shared" si="45"/>
        <v>1343.3000000000002</v>
      </c>
      <c r="M371" s="52" t="str">
        <f t="shared" si="46"/>
        <v>musbet</v>
      </c>
      <c r="N371" s="19" t="str">
        <f t="shared" si="47"/>
        <v>Səadət Təhmin 26958</v>
      </c>
    </row>
    <row r="372" spans="1:14" ht="14.25" customHeight="1" x14ac:dyDescent="0.25">
      <c r="A372" s="12" t="s">
        <v>414</v>
      </c>
      <c r="B372" s="12" t="s">
        <v>48</v>
      </c>
      <c r="C372" s="14">
        <v>22432</v>
      </c>
      <c r="D372" s="17">
        <f t="shared" si="41"/>
        <v>1961</v>
      </c>
      <c r="E372" s="16">
        <f t="shared" si="40"/>
        <v>64</v>
      </c>
      <c r="F372" s="12" t="str">
        <f t="shared" si="42"/>
        <v>60=&lt;</v>
      </c>
      <c r="G372" s="12" t="s">
        <v>58</v>
      </c>
      <c r="H372" s="13">
        <v>3420.71</v>
      </c>
      <c r="I372" s="12" t="str">
        <f t="shared" si="43"/>
        <v>3000=&lt;4000 AZN</v>
      </c>
      <c r="J372" s="13">
        <v>4524.12</v>
      </c>
      <c r="K372" s="12" t="str">
        <f t="shared" si="44"/>
        <v>4000=&lt;5000 AZN</v>
      </c>
      <c r="L372" s="13">
        <f t="shared" si="45"/>
        <v>-1103.4099999999999</v>
      </c>
      <c r="M372" s="52" t="str">
        <f t="shared" si="46"/>
        <v>menfi</v>
      </c>
      <c r="N372" s="19" t="str">
        <f t="shared" si="47"/>
        <v>İlyas Abbasbəyli 22432</v>
      </c>
    </row>
    <row r="373" spans="1:14" ht="14.25" customHeight="1" x14ac:dyDescent="0.25">
      <c r="A373" s="12" t="s">
        <v>415</v>
      </c>
      <c r="B373" s="12" t="s">
        <v>28</v>
      </c>
      <c r="C373" s="14">
        <v>32147</v>
      </c>
      <c r="D373" s="17">
        <f t="shared" si="41"/>
        <v>1988</v>
      </c>
      <c r="E373" s="16">
        <f t="shared" si="40"/>
        <v>37</v>
      </c>
      <c r="F373" s="12" t="str">
        <f t="shared" si="42"/>
        <v>30=&lt;40</v>
      </c>
      <c r="G373" s="12" t="s">
        <v>40</v>
      </c>
      <c r="H373" s="13">
        <v>4336.25</v>
      </c>
      <c r="I373" s="12" t="str">
        <f t="shared" si="43"/>
        <v>4000=&lt;5000 AZN</v>
      </c>
      <c r="J373" s="13">
        <v>4106.96</v>
      </c>
      <c r="K373" s="12" t="str">
        <f t="shared" si="44"/>
        <v>4000=&lt;5000 AZN</v>
      </c>
      <c r="L373" s="13">
        <f t="shared" si="45"/>
        <v>229.28999999999996</v>
      </c>
      <c r="M373" s="52" t="str">
        <f t="shared" si="46"/>
        <v>musbet</v>
      </c>
      <c r="N373" s="19" t="str">
        <f t="shared" si="47"/>
        <v>Asəf Mirzəyev 32147</v>
      </c>
    </row>
    <row r="374" spans="1:14" ht="14.25" customHeight="1" x14ac:dyDescent="0.25">
      <c r="A374" s="12" t="s">
        <v>416</v>
      </c>
      <c r="B374" s="12" t="s">
        <v>27</v>
      </c>
      <c r="C374" s="14">
        <v>35341</v>
      </c>
      <c r="D374" s="17">
        <f t="shared" si="41"/>
        <v>1996</v>
      </c>
      <c r="E374" s="16">
        <f t="shared" si="40"/>
        <v>29</v>
      </c>
      <c r="F374" s="12" t="str">
        <f t="shared" si="42"/>
        <v>20=&lt;30</v>
      </c>
      <c r="G374" s="12" t="s">
        <v>40</v>
      </c>
      <c r="H374" s="13">
        <v>2657.15</v>
      </c>
      <c r="I374" s="12" t="str">
        <f t="shared" si="43"/>
        <v>2000=&lt;3000 AZN</v>
      </c>
      <c r="J374" s="13">
        <v>325.60000000000002</v>
      </c>
      <c r="K374" s="12" t="str">
        <f t="shared" si="44"/>
        <v>&lt;1000 AZN</v>
      </c>
      <c r="L374" s="13">
        <f t="shared" si="45"/>
        <v>2331.5500000000002</v>
      </c>
      <c r="M374" s="52" t="str">
        <f t="shared" si="46"/>
        <v>musbet</v>
      </c>
      <c r="N374" s="19" t="str">
        <f t="shared" si="47"/>
        <v>Dadaş  Vurğun 35341</v>
      </c>
    </row>
    <row r="375" spans="1:14" ht="14.25" customHeight="1" x14ac:dyDescent="0.25">
      <c r="A375" s="12" t="s">
        <v>417</v>
      </c>
      <c r="B375" s="12" t="s">
        <v>30</v>
      </c>
      <c r="C375" s="14">
        <v>30524</v>
      </c>
      <c r="D375" s="17">
        <f t="shared" si="41"/>
        <v>1983</v>
      </c>
      <c r="E375" s="16">
        <f t="shared" si="40"/>
        <v>42</v>
      </c>
      <c r="F375" s="12" t="str">
        <f t="shared" si="42"/>
        <v>40=&lt;60</v>
      </c>
      <c r="G375" s="12" t="s">
        <v>63</v>
      </c>
      <c r="H375" s="13">
        <v>1400.72</v>
      </c>
      <c r="I375" s="12" t="str">
        <f t="shared" si="43"/>
        <v>1000=&lt;2000 AZN</v>
      </c>
      <c r="J375" s="13">
        <v>394.07</v>
      </c>
      <c r="K375" s="12" t="str">
        <f t="shared" si="44"/>
        <v>&lt;1000 AZN</v>
      </c>
      <c r="L375" s="13">
        <f t="shared" si="45"/>
        <v>1006.6500000000001</v>
      </c>
      <c r="M375" s="52" t="str">
        <f t="shared" si="46"/>
        <v>musbet</v>
      </c>
      <c r="N375" s="19" t="str">
        <f t="shared" si="47"/>
        <v>Röyalə Bəktaşi 30524</v>
      </c>
    </row>
    <row r="376" spans="1:14" ht="14.25" customHeight="1" x14ac:dyDescent="0.25">
      <c r="A376" s="12" t="s">
        <v>418</v>
      </c>
      <c r="B376" s="12" t="s">
        <v>27</v>
      </c>
      <c r="C376" s="14">
        <v>34078</v>
      </c>
      <c r="D376" s="17">
        <f t="shared" si="41"/>
        <v>1993</v>
      </c>
      <c r="E376" s="16">
        <f t="shared" si="40"/>
        <v>32</v>
      </c>
      <c r="F376" s="12" t="str">
        <f t="shared" si="42"/>
        <v>30=&lt;40</v>
      </c>
      <c r="G376" s="12" t="s">
        <v>49</v>
      </c>
      <c r="H376" s="13">
        <v>4219.78</v>
      </c>
      <c r="I376" s="12" t="str">
        <f t="shared" si="43"/>
        <v>4000=&lt;5000 AZN</v>
      </c>
      <c r="J376" s="13">
        <v>1225.71</v>
      </c>
      <c r="K376" s="12" t="str">
        <f t="shared" si="44"/>
        <v>1000=&lt;2000 AZN</v>
      </c>
      <c r="L376" s="13">
        <f t="shared" si="45"/>
        <v>2994.0699999999997</v>
      </c>
      <c r="M376" s="52" t="str">
        <f t="shared" si="46"/>
        <v>musbet</v>
      </c>
      <c r="N376" s="19" t="str">
        <f t="shared" si="47"/>
        <v>Səriyyə Vurğun 34078</v>
      </c>
    </row>
    <row r="377" spans="1:14" ht="14.25" customHeight="1" x14ac:dyDescent="0.25">
      <c r="A377" s="12" t="s">
        <v>419</v>
      </c>
      <c r="B377" s="12" t="s">
        <v>27</v>
      </c>
      <c r="C377" s="14">
        <v>31772</v>
      </c>
      <c r="D377" s="17">
        <f t="shared" si="41"/>
        <v>1986</v>
      </c>
      <c r="E377" s="16">
        <f t="shared" si="40"/>
        <v>39</v>
      </c>
      <c r="F377" s="12" t="str">
        <f t="shared" si="42"/>
        <v>30=&lt;40</v>
      </c>
      <c r="G377" s="12" t="s">
        <v>40</v>
      </c>
      <c r="H377" s="13">
        <v>3627.81</v>
      </c>
      <c r="I377" s="12" t="str">
        <f t="shared" si="43"/>
        <v>3000=&lt;4000 AZN</v>
      </c>
      <c r="J377" s="13">
        <v>4352.8</v>
      </c>
      <c r="K377" s="12" t="str">
        <f t="shared" si="44"/>
        <v>4000=&lt;5000 AZN</v>
      </c>
      <c r="L377" s="13">
        <f t="shared" si="45"/>
        <v>-724.99000000000024</v>
      </c>
      <c r="M377" s="52" t="str">
        <f t="shared" si="46"/>
        <v>menfi</v>
      </c>
      <c r="N377" s="19" t="str">
        <f t="shared" si="47"/>
        <v>Xudu Vurğun 31772</v>
      </c>
    </row>
    <row r="378" spans="1:14" ht="14.25" customHeight="1" x14ac:dyDescent="0.25">
      <c r="A378" s="12" t="s">
        <v>420</v>
      </c>
      <c r="B378" s="12" t="s">
        <v>30</v>
      </c>
      <c r="C378" s="14">
        <v>36316</v>
      </c>
      <c r="D378" s="17">
        <f t="shared" si="41"/>
        <v>1999</v>
      </c>
      <c r="E378" s="16">
        <f t="shared" si="40"/>
        <v>26</v>
      </c>
      <c r="F378" s="12" t="str">
        <f t="shared" si="42"/>
        <v>20=&lt;30</v>
      </c>
      <c r="G378" s="12" t="s">
        <v>51</v>
      </c>
      <c r="H378" s="13">
        <v>1565.32</v>
      </c>
      <c r="I378" s="12" t="str">
        <f t="shared" si="43"/>
        <v>1000=&lt;2000 AZN</v>
      </c>
      <c r="J378" s="13">
        <v>3112.76</v>
      </c>
      <c r="K378" s="12" t="str">
        <f t="shared" si="44"/>
        <v>3000=&lt;4000 AZN</v>
      </c>
      <c r="L378" s="13">
        <f t="shared" si="45"/>
        <v>-1547.4400000000003</v>
      </c>
      <c r="M378" s="52" t="str">
        <f t="shared" si="46"/>
        <v>menfi</v>
      </c>
      <c r="N378" s="19" t="str">
        <f t="shared" si="47"/>
        <v>Aydan Bəktaşi 36316</v>
      </c>
    </row>
    <row r="379" spans="1:14" ht="14.25" customHeight="1" x14ac:dyDescent="0.25">
      <c r="A379" s="12" t="s">
        <v>421</v>
      </c>
      <c r="B379" s="12" t="s">
        <v>26</v>
      </c>
      <c r="C379" s="14">
        <v>29449</v>
      </c>
      <c r="D379" s="17">
        <f t="shared" si="41"/>
        <v>1980</v>
      </c>
      <c r="E379" s="16">
        <f t="shared" si="40"/>
        <v>45</v>
      </c>
      <c r="F379" s="12" t="str">
        <f t="shared" si="42"/>
        <v>40=&lt;60</v>
      </c>
      <c r="G379" s="12" t="s">
        <v>63</v>
      </c>
      <c r="H379" s="13">
        <v>1716.06</v>
      </c>
      <c r="I379" s="12" t="str">
        <f t="shared" si="43"/>
        <v>1000=&lt;2000 AZN</v>
      </c>
      <c r="J379" s="13">
        <v>4083.15</v>
      </c>
      <c r="K379" s="12" t="str">
        <f t="shared" si="44"/>
        <v>4000=&lt;5000 AZN</v>
      </c>
      <c r="L379" s="13">
        <f t="shared" si="45"/>
        <v>-2367.09</v>
      </c>
      <c r="M379" s="52" t="str">
        <f t="shared" si="46"/>
        <v>menfi</v>
      </c>
      <c r="N379" s="19" t="str">
        <f t="shared" si="47"/>
        <v>Mehdi Həsənli 29449</v>
      </c>
    </row>
    <row r="380" spans="1:14" ht="14.25" customHeight="1" x14ac:dyDescent="0.25">
      <c r="A380" s="12" t="s">
        <v>422</v>
      </c>
      <c r="B380" s="12" t="s">
        <v>30</v>
      </c>
      <c r="C380" s="14">
        <v>32338</v>
      </c>
      <c r="D380" s="17">
        <f t="shared" si="41"/>
        <v>1988</v>
      </c>
      <c r="E380" s="16">
        <f t="shared" si="40"/>
        <v>37</v>
      </c>
      <c r="F380" s="12" t="str">
        <f t="shared" si="42"/>
        <v>30=&lt;40</v>
      </c>
      <c r="G380" s="12" t="s">
        <v>45</v>
      </c>
      <c r="H380" s="13">
        <v>2319.11</v>
      </c>
      <c r="I380" s="12" t="str">
        <f t="shared" si="43"/>
        <v>2000=&lt;3000 AZN</v>
      </c>
      <c r="J380" s="13">
        <v>2818.52</v>
      </c>
      <c r="K380" s="12" t="str">
        <f t="shared" si="44"/>
        <v>2000=&lt;3000 AZN</v>
      </c>
      <c r="L380" s="13">
        <f t="shared" si="45"/>
        <v>-499.40999999999985</v>
      </c>
      <c r="M380" s="52" t="str">
        <f t="shared" si="46"/>
        <v>menfi</v>
      </c>
      <c r="N380" s="19" t="str">
        <f t="shared" si="47"/>
        <v>Nəzrin Bəktaşi 32338</v>
      </c>
    </row>
    <row r="381" spans="1:14" ht="14.25" customHeight="1" x14ac:dyDescent="0.25">
      <c r="A381" s="12" t="s">
        <v>423</v>
      </c>
      <c r="B381" s="12" t="s">
        <v>28</v>
      </c>
      <c r="C381" s="14">
        <v>23286</v>
      </c>
      <c r="D381" s="17">
        <f t="shared" si="41"/>
        <v>1963</v>
      </c>
      <c r="E381" s="16">
        <f t="shared" si="40"/>
        <v>62</v>
      </c>
      <c r="F381" s="12" t="str">
        <f t="shared" si="42"/>
        <v>60=&lt;</v>
      </c>
      <c r="G381" s="12" t="s">
        <v>49</v>
      </c>
      <c r="H381" s="13">
        <v>4443.26</v>
      </c>
      <c r="I381" s="12" t="str">
        <f t="shared" si="43"/>
        <v>4000=&lt;5000 AZN</v>
      </c>
      <c r="J381" s="13">
        <v>4498.13</v>
      </c>
      <c r="K381" s="12" t="str">
        <f t="shared" si="44"/>
        <v>4000=&lt;5000 AZN</v>
      </c>
      <c r="L381" s="13">
        <f t="shared" si="45"/>
        <v>-54.869999999999891</v>
      </c>
      <c r="M381" s="52" t="str">
        <f t="shared" si="46"/>
        <v>menfi</v>
      </c>
      <c r="N381" s="19" t="str">
        <f t="shared" si="47"/>
        <v>Hümbət Mirzəyev 23286</v>
      </c>
    </row>
    <row r="382" spans="1:14" ht="14.25" customHeight="1" x14ac:dyDescent="0.25">
      <c r="A382" s="12" t="s">
        <v>424</v>
      </c>
      <c r="B382" s="12" t="s">
        <v>30</v>
      </c>
      <c r="C382" s="14">
        <v>23471</v>
      </c>
      <c r="D382" s="17">
        <f t="shared" si="41"/>
        <v>1964</v>
      </c>
      <c r="E382" s="16">
        <f t="shared" si="40"/>
        <v>61</v>
      </c>
      <c r="F382" s="12" t="str">
        <f t="shared" si="42"/>
        <v>60=&lt;</v>
      </c>
      <c r="G382" s="12" t="s">
        <v>58</v>
      </c>
      <c r="H382" s="13">
        <v>4539.79</v>
      </c>
      <c r="I382" s="12" t="str">
        <f t="shared" si="43"/>
        <v>4000=&lt;5000 AZN</v>
      </c>
      <c r="J382" s="13">
        <v>4541.28</v>
      </c>
      <c r="K382" s="12" t="str">
        <f t="shared" si="44"/>
        <v>4000=&lt;5000 AZN</v>
      </c>
      <c r="L382" s="13">
        <f t="shared" si="45"/>
        <v>-1.4899999999997817</v>
      </c>
      <c r="M382" s="52" t="str">
        <f t="shared" si="46"/>
        <v>menfi</v>
      </c>
      <c r="N382" s="19" t="str">
        <f t="shared" si="47"/>
        <v>Kamil Bəktaşi 23471</v>
      </c>
    </row>
    <row r="383" spans="1:14" ht="14.25" customHeight="1" x14ac:dyDescent="0.25">
      <c r="A383" s="12" t="s">
        <v>425</v>
      </c>
      <c r="B383" s="12" t="s">
        <v>29</v>
      </c>
      <c r="C383" s="14">
        <v>25294</v>
      </c>
      <c r="D383" s="17">
        <f t="shared" si="41"/>
        <v>1969</v>
      </c>
      <c r="E383" s="16">
        <f t="shared" si="40"/>
        <v>56</v>
      </c>
      <c r="F383" s="12" t="str">
        <f t="shared" si="42"/>
        <v>40=&lt;60</v>
      </c>
      <c r="G383" s="12" t="s">
        <v>53</v>
      </c>
      <c r="H383" s="13">
        <v>4541.75</v>
      </c>
      <c r="I383" s="12" t="str">
        <f t="shared" si="43"/>
        <v>4000=&lt;5000 AZN</v>
      </c>
      <c r="J383" s="13">
        <v>4569.04</v>
      </c>
      <c r="K383" s="12" t="str">
        <f t="shared" si="44"/>
        <v>4000=&lt;5000 AZN</v>
      </c>
      <c r="L383" s="13">
        <f t="shared" si="45"/>
        <v>-27.289999999999964</v>
      </c>
      <c r="M383" s="52" t="str">
        <f t="shared" si="46"/>
        <v>menfi</v>
      </c>
      <c r="N383" s="19" t="str">
        <f t="shared" si="47"/>
        <v>Rafiq Bayramov 25294</v>
      </c>
    </row>
    <row r="384" spans="1:14" ht="14.25" customHeight="1" x14ac:dyDescent="0.25">
      <c r="A384" s="12" t="s">
        <v>426</v>
      </c>
      <c r="B384" s="12" t="s">
        <v>39</v>
      </c>
      <c r="C384" s="14">
        <v>27198</v>
      </c>
      <c r="D384" s="17">
        <f t="shared" si="41"/>
        <v>1974</v>
      </c>
      <c r="E384" s="16">
        <f t="shared" si="40"/>
        <v>51</v>
      </c>
      <c r="F384" s="12" t="str">
        <f t="shared" si="42"/>
        <v>40=&lt;60</v>
      </c>
      <c r="G384" s="12" t="s">
        <v>53</v>
      </c>
      <c r="H384" s="13">
        <v>2197.7399999999998</v>
      </c>
      <c r="I384" s="12" t="str">
        <f t="shared" si="43"/>
        <v>2000=&lt;3000 AZN</v>
      </c>
      <c r="J384" s="13">
        <v>1104.96</v>
      </c>
      <c r="K384" s="12" t="str">
        <f t="shared" si="44"/>
        <v>1000=&lt;2000 AZN</v>
      </c>
      <c r="L384" s="13">
        <f t="shared" si="45"/>
        <v>1092.7799999999997</v>
      </c>
      <c r="M384" s="52" t="str">
        <f t="shared" si="46"/>
        <v>musbet</v>
      </c>
      <c r="N384" s="19" t="str">
        <f t="shared" si="47"/>
        <v>Aysel Düzgün 27198</v>
      </c>
    </row>
    <row r="385" spans="1:14" ht="14.25" customHeight="1" x14ac:dyDescent="0.25">
      <c r="A385" s="12" t="s">
        <v>427</v>
      </c>
      <c r="B385" s="12" t="s">
        <v>65</v>
      </c>
      <c r="C385" s="14">
        <v>35538</v>
      </c>
      <c r="D385" s="17">
        <f t="shared" si="41"/>
        <v>1997</v>
      </c>
      <c r="E385" s="16">
        <f t="shared" si="40"/>
        <v>28</v>
      </c>
      <c r="F385" s="12" t="str">
        <f t="shared" si="42"/>
        <v>20=&lt;30</v>
      </c>
      <c r="G385" s="12" t="s">
        <v>53</v>
      </c>
      <c r="H385" s="13">
        <v>499.55</v>
      </c>
      <c r="I385" s="12" t="str">
        <f t="shared" si="43"/>
        <v>&lt;1000 AZN</v>
      </c>
      <c r="J385" s="13">
        <v>4806.97</v>
      </c>
      <c r="K385" s="12" t="str">
        <f t="shared" si="44"/>
        <v>4000=&lt;5000 AZN</v>
      </c>
      <c r="L385" s="13">
        <f t="shared" si="45"/>
        <v>-4307.42</v>
      </c>
      <c r="M385" s="52" t="str">
        <f t="shared" si="46"/>
        <v>menfi</v>
      </c>
      <c r="N385" s="19" t="str">
        <f t="shared" si="47"/>
        <v>Dürdanə Cabbarov 35538</v>
      </c>
    </row>
    <row r="386" spans="1:14" ht="14.25" customHeight="1" x14ac:dyDescent="0.25">
      <c r="A386" s="12" t="s">
        <v>428</v>
      </c>
      <c r="B386" s="12" t="s">
        <v>30</v>
      </c>
      <c r="C386" s="14">
        <v>29071</v>
      </c>
      <c r="D386" s="17">
        <f t="shared" si="41"/>
        <v>1979</v>
      </c>
      <c r="E386" s="16">
        <f t="shared" ref="E386:E449" si="48">2025-D386</f>
        <v>46</v>
      </c>
      <c r="F386" s="12" t="str">
        <f t="shared" si="42"/>
        <v>40=&lt;60</v>
      </c>
      <c r="G386" s="12" t="s">
        <v>49</v>
      </c>
      <c r="H386" s="13">
        <v>3584.12</v>
      </c>
      <c r="I386" s="12" t="str">
        <f t="shared" si="43"/>
        <v>3000=&lt;4000 AZN</v>
      </c>
      <c r="J386" s="13">
        <v>3702.48</v>
      </c>
      <c r="K386" s="12" t="str">
        <f t="shared" si="44"/>
        <v>3000=&lt;4000 AZN</v>
      </c>
      <c r="L386" s="13">
        <f t="shared" si="45"/>
        <v>-118.36000000000013</v>
      </c>
      <c r="M386" s="52" t="str">
        <f t="shared" si="46"/>
        <v>menfi</v>
      </c>
      <c r="N386" s="19" t="str">
        <f t="shared" si="47"/>
        <v>İlqarə Bəktaşi 29071</v>
      </c>
    </row>
    <row r="387" spans="1:14" ht="14.25" customHeight="1" x14ac:dyDescent="0.25">
      <c r="A387" s="12" t="s">
        <v>429</v>
      </c>
      <c r="B387" s="12" t="s">
        <v>26</v>
      </c>
      <c r="C387" s="14">
        <v>26142</v>
      </c>
      <c r="D387" s="17">
        <f t="shared" ref="D387:D450" si="49">YEAR(C387)</f>
        <v>1971</v>
      </c>
      <c r="E387" s="16">
        <f t="shared" si="48"/>
        <v>54</v>
      </c>
      <c r="F387" s="12" t="str">
        <f t="shared" ref="F387:F450" si="50">IF(AND(E387&gt;=0,E387&lt;20),"0=&lt;20",IF(AND(E387&gt;=20,E387&lt;30),"20=&lt;30",IF(AND(E387&gt;=30,E387&lt;40),"30=&lt;40",IF(AND(E387&gt;=40,E387&lt;60),"40=&lt;60",IF(AND(E387&gt;=60),"60=&lt;")))))</f>
        <v>40=&lt;60</v>
      </c>
      <c r="G387" s="12" t="s">
        <v>58</v>
      </c>
      <c r="H387" s="13">
        <v>3051.64</v>
      </c>
      <c r="I387" s="12" t="str">
        <f t="shared" ref="I387:I450" si="51">IF(AND(H387&lt;1000),"&lt;1000 AZN",IF(AND(H387&gt;=1000,H387&lt;2000),"1000=&lt;2000 AZN",IF(AND(H387&gt;=2000,H387&lt;3000),"2000=&lt;3000 AZN",IF(AND(H387&gt;=3000,H387&lt;4000),"3000=&lt;4000 AZN",IF(AND(H387&gt;=4000,H387&lt;5000),"4000=&lt;5000 AZN",IF(AND(H387&gt;=5000,),"5000=&lt;  AZN"))))))</f>
        <v>3000=&lt;4000 AZN</v>
      </c>
      <c r="J387" s="13">
        <v>3225.38</v>
      </c>
      <c r="K387" s="12" t="str">
        <f t="shared" ref="K387:K450" si="52">IF(AND(J387&lt;1000),"&lt;1000 AZN",IF(AND(J387&gt;=1000,J387&lt;2000),"1000=&lt;2000 AZN",IF(AND(J387&gt;=2000,J387&lt;3000),"2000=&lt;3000 AZN",IF(AND(J387&gt;=3000,J387&lt;4000),"3000=&lt;4000 AZN",IF(AND(J387&gt;=4000,J387&lt;5000),"4000=&lt;5000 AZN",IF(AND(J387&gt;=5000,),"5000=&lt;  AZN"))))))</f>
        <v>3000=&lt;4000 AZN</v>
      </c>
      <c r="L387" s="13">
        <f t="shared" ref="L387:L450" si="53">H387-J387</f>
        <v>-173.74000000000024</v>
      </c>
      <c r="M387" s="52" t="str">
        <f t="shared" ref="M387:M450" si="54">IF(L387&lt;0,"menfi","musbet")</f>
        <v>menfi</v>
      </c>
      <c r="N387" s="19" t="str">
        <f t="shared" ref="N387:N450" si="55">_xlfn.CONCAT(A387," ",B387," ",C387)</f>
        <v>Pərişan Həsənli 26142</v>
      </c>
    </row>
    <row r="388" spans="1:14" ht="14.25" customHeight="1" x14ac:dyDescent="0.25">
      <c r="A388" s="12" t="s">
        <v>430</v>
      </c>
      <c r="B388" s="12" t="s">
        <v>48</v>
      </c>
      <c r="C388" s="14">
        <v>36705</v>
      </c>
      <c r="D388" s="17">
        <f t="shared" si="49"/>
        <v>2000</v>
      </c>
      <c r="E388" s="16">
        <f t="shared" si="48"/>
        <v>25</v>
      </c>
      <c r="F388" s="12" t="str">
        <f t="shared" si="50"/>
        <v>20=&lt;30</v>
      </c>
      <c r="G388" s="12" t="s">
        <v>63</v>
      </c>
      <c r="H388" s="13">
        <v>773.78</v>
      </c>
      <c r="I388" s="12" t="str">
        <f t="shared" si="51"/>
        <v>&lt;1000 AZN</v>
      </c>
      <c r="J388" s="13">
        <v>3147.62</v>
      </c>
      <c r="K388" s="12" t="str">
        <f t="shared" si="52"/>
        <v>3000=&lt;4000 AZN</v>
      </c>
      <c r="L388" s="13">
        <f t="shared" si="53"/>
        <v>-2373.84</v>
      </c>
      <c r="M388" s="52" t="str">
        <f t="shared" si="54"/>
        <v>menfi</v>
      </c>
      <c r="N388" s="19" t="str">
        <f t="shared" si="55"/>
        <v>Rəis Abbasbəyli 36705</v>
      </c>
    </row>
    <row r="389" spans="1:14" ht="14.25" customHeight="1" x14ac:dyDescent="0.25">
      <c r="A389" s="12" t="s">
        <v>431</v>
      </c>
      <c r="B389" s="12" t="s">
        <v>48</v>
      </c>
      <c r="C389" s="14">
        <v>36501</v>
      </c>
      <c r="D389" s="17">
        <f t="shared" si="49"/>
        <v>1999</v>
      </c>
      <c r="E389" s="16">
        <f t="shared" si="48"/>
        <v>26</v>
      </c>
      <c r="F389" s="12" t="str">
        <f t="shared" si="50"/>
        <v>20=&lt;30</v>
      </c>
      <c r="G389" s="12" t="s">
        <v>51</v>
      </c>
      <c r="H389" s="13">
        <v>3722.29</v>
      </c>
      <c r="I389" s="12" t="str">
        <f t="shared" si="51"/>
        <v>3000=&lt;4000 AZN</v>
      </c>
      <c r="J389" s="13">
        <v>1566.7</v>
      </c>
      <c r="K389" s="12" t="str">
        <f t="shared" si="52"/>
        <v>1000=&lt;2000 AZN</v>
      </c>
      <c r="L389" s="13">
        <f t="shared" si="53"/>
        <v>2155.59</v>
      </c>
      <c r="M389" s="52" t="str">
        <f t="shared" si="54"/>
        <v>musbet</v>
      </c>
      <c r="N389" s="19" t="str">
        <f t="shared" si="55"/>
        <v>Dürnisə Abbasbəyli 36501</v>
      </c>
    </row>
    <row r="390" spans="1:14" ht="14.25" customHeight="1" x14ac:dyDescent="0.25">
      <c r="A390" s="12" t="s">
        <v>432</v>
      </c>
      <c r="B390" s="12" t="s">
        <v>29</v>
      </c>
      <c r="C390" s="14">
        <v>25386</v>
      </c>
      <c r="D390" s="17">
        <f t="shared" si="49"/>
        <v>1969</v>
      </c>
      <c r="E390" s="16">
        <f t="shared" si="48"/>
        <v>56</v>
      </c>
      <c r="F390" s="12" t="str">
        <f t="shared" si="50"/>
        <v>40=&lt;60</v>
      </c>
      <c r="G390" s="12" t="s">
        <v>66</v>
      </c>
      <c r="H390" s="13">
        <v>1191.74</v>
      </c>
      <c r="I390" s="12" t="str">
        <f t="shared" si="51"/>
        <v>1000=&lt;2000 AZN</v>
      </c>
      <c r="J390" s="13">
        <v>620.71</v>
      </c>
      <c r="K390" s="12" t="str">
        <f t="shared" si="52"/>
        <v>&lt;1000 AZN</v>
      </c>
      <c r="L390" s="13">
        <f t="shared" si="53"/>
        <v>571.03</v>
      </c>
      <c r="M390" s="52" t="str">
        <f t="shared" si="54"/>
        <v>musbet</v>
      </c>
      <c r="N390" s="19" t="str">
        <f t="shared" si="55"/>
        <v>Könül Bayramov 25386</v>
      </c>
    </row>
    <row r="391" spans="1:14" ht="14.25" customHeight="1" x14ac:dyDescent="0.25">
      <c r="A391" s="12" t="s">
        <v>433</v>
      </c>
      <c r="B391" s="12" t="s">
        <v>28</v>
      </c>
      <c r="C391" s="14">
        <v>22360</v>
      </c>
      <c r="D391" s="17">
        <f t="shared" si="49"/>
        <v>1961</v>
      </c>
      <c r="E391" s="16">
        <f t="shared" si="48"/>
        <v>64</v>
      </c>
      <c r="F391" s="12" t="str">
        <f t="shared" si="50"/>
        <v>60=&lt;</v>
      </c>
      <c r="G391" s="12" t="s">
        <v>51</v>
      </c>
      <c r="H391" s="13">
        <v>4343.5600000000004</v>
      </c>
      <c r="I391" s="12" t="str">
        <f t="shared" si="51"/>
        <v>4000=&lt;5000 AZN</v>
      </c>
      <c r="J391" s="13">
        <v>1122.28</v>
      </c>
      <c r="K391" s="12" t="str">
        <f t="shared" si="52"/>
        <v>1000=&lt;2000 AZN</v>
      </c>
      <c r="L391" s="13">
        <f t="shared" si="53"/>
        <v>3221.2800000000007</v>
      </c>
      <c r="M391" s="52" t="str">
        <f t="shared" si="54"/>
        <v>musbet</v>
      </c>
      <c r="N391" s="19" t="str">
        <f t="shared" si="55"/>
        <v>Səbinə Mirzəyev 22360</v>
      </c>
    </row>
    <row r="392" spans="1:14" ht="14.25" customHeight="1" x14ac:dyDescent="0.25">
      <c r="A392" s="12" t="s">
        <v>434</v>
      </c>
      <c r="B392" s="12" t="s">
        <v>39</v>
      </c>
      <c r="C392" s="14">
        <v>29461</v>
      </c>
      <c r="D392" s="17">
        <f t="shared" si="49"/>
        <v>1980</v>
      </c>
      <c r="E392" s="16">
        <f t="shared" si="48"/>
        <v>45</v>
      </c>
      <c r="F392" s="12" t="str">
        <f t="shared" si="50"/>
        <v>40=&lt;60</v>
      </c>
      <c r="G392" s="12" t="s">
        <v>63</v>
      </c>
      <c r="H392" s="13">
        <v>467.8</v>
      </c>
      <c r="I392" s="12" t="str">
        <f t="shared" si="51"/>
        <v>&lt;1000 AZN</v>
      </c>
      <c r="J392" s="13">
        <v>3056.41</v>
      </c>
      <c r="K392" s="12" t="str">
        <f t="shared" si="52"/>
        <v>3000=&lt;4000 AZN</v>
      </c>
      <c r="L392" s="13">
        <f t="shared" si="53"/>
        <v>-2588.6099999999997</v>
      </c>
      <c r="M392" s="52" t="str">
        <f t="shared" si="54"/>
        <v>menfi</v>
      </c>
      <c r="N392" s="19" t="str">
        <f t="shared" si="55"/>
        <v>Elsevər Düzgün 29461</v>
      </c>
    </row>
    <row r="393" spans="1:14" ht="14.25" customHeight="1" x14ac:dyDescent="0.25">
      <c r="A393" s="12" t="s">
        <v>435</v>
      </c>
      <c r="B393" s="12" t="s">
        <v>27</v>
      </c>
      <c r="C393" s="14">
        <v>32511</v>
      </c>
      <c r="D393" s="17">
        <f t="shared" si="49"/>
        <v>1989</v>
      </c>
      <c r="E393" s="16">
        <f t="shared" si="48"/>
        <v>36</v>
      </c>
      <c r="F393" s="12" t="str">
        <f t="shared" si="50"/>
        <v>30=&lt;40</v>
      </c>
      <c r="G393" s="12" t="s">
        <v>51</v>
      </c>
      <c r="H393" s="13">
        <v>4093.09</v>
      </c>
      <c r="I393" s="12" t="str">
        <f t="shared" si="51"/>
        <v>4000=&lt;5000 AZN</v>
      </c>
      <c r="J393" s="13">
        <v>4888.66</v>
      </c>
      <c r="K393" s="12" t="str">
        <f t="shared" si="52"/>
        <v>4000=&lt;5000 AZN</v>
      </c>
      <c r="L393" s="13">
        <f t="shared" si="53"/>
        <v>-795.56999999999971</v>
      </c>
      <c r="M393" s="52" t="str">
        <f t="shared" si="54"/>
        <v>menfi</v>
      </c>
      <c r="N393" s="19" t="str">
        <f t="shared" si="55"/>
        <v>Ədibə Vurğun 32511</v>
      </c>
    </row>
    <row r="394" spans="1:14" ht="14.25" customHeight="1" x14ac:dyDescent="0.25">
      <c r="A394" s="12" t="s">
        <v>436</v>
      </c>
      <c r="B394" s="12" t="s">
        <v>65</v>
      </c>
      <c r="C394" s="14">
        <v>23471</v>
      </c>
      <c r="D394" s="17">
        <f t="shared" si="49"/>
        <v>1964</v>
      </c>
      <c r="E394" s="16">
        <f t="shared" si="48"/>
        <v>61</v>
      </c>
      <c r="F394" s="12" t="str">
        <f t="shared" si="50"/>
        <v>60=&lt;</v>
      </c>
      <c r="G394" s="12" t="s">
        <v>53</v>
      </c>
      <c r="H394" s="13">
        <v>2868.77</v>
      </c>
      <c r="I394" s="12" t="str">
        <f t="shared" si="51"/>
        <v>2000=&lt;3000 AZN</v>
      </c>
      <c r="J394" s="13">
        <v>616.17999999999995</v>
      </c>
      <c r="K394" s="12" t="str">
        <f t="shared" si="52"/>
        <v>&lt;1000 AZN</v>
      </c>
      <c r="L394" s="13">
        <f t="shared" si="53"/>
        <v>2252.59</v>
      </c>
      <c r="M394" s="52" t="str">
        <f t="shared" si="54"/>
        <v>musbet</v>
      </c>
      <c r="N394" s="19" t="str">
        <f t="shared" si="55"/>
        <v>Bəhruz Cabbarov 23471</v>
      </c>
    </row>
    <row r="395" spans="1:14" ht="14.25" customHeight="1" x14ac:dyDescent="0.25">
      <c r="A395" s="12" t="s">
        <v>437</v>
      </c>
      <c r="B395" s="12" t="s">
        <v>44</v>
      </c>
      <c r="C395" s="14">
        <v>36681</v>
      </c>
      <c r="D395" s="17">
        <f t="shared" si="49"/>
        <v>2000</v>
      </c>
      <c r="E395" s="16">
        <f t="shared" si="48"/>
        <v>25</v>
      </c>
      <c r="F395" s="12" t="str">
        <f t="shared" si="50"/>
        <v>20=&lt;30</v>
      </c>
      <c r="G395" s="12" t="s">
        <v>63</v>
      </c>
      <c r="H395" s="13">
        <v>3920.98</v>
      </c>
      <c r="I395" s="12" t="str">
        <f t="shared" si="51"/>
        <v>3000=&lt;4000 AZN</v>
      </c>
      <c r="J395" s="13">
        <v>3682.78</v>
      </c>
      <c r="K395" s="12" t="str">
        <f t="shared" si="52"/>
        <v>3000=&lt;4000 AZN</v>
      </c>
      <c r="L395" s="13">
        <f t="shared" si="53"/>
        <v>238.19999999999982</v>
      </c>
      <c r="M395" s="52" t="str">
        <f t="shared" si="54"/>
        <v>musbet</v>
      </c>
      <c r="N395" s="19" t="str">
        <f t="shared" si="55"/>
        <v>Ruslan Təhmin 36681</v>
      </c>
    </row>
    <row r="396" spans="1:14" ht="14.25" customHeight="1" x14ac:dyDescent="0.25">
      <c r="A396" s="12" t="s">
        <v>438</v>
      </c>
      <c r="B396" s="12" t="s">
        <v>29</v>
      </c>
      <c r="C396" s="14">
        <v>24830</v>
      </c>
      <c r="D396" s="17">
        <f t="shared" si="49"/>
        <v>1967</v>
      </c>
      <c r="E396" s="16">
        <f t="shared" si="48"/>
        <v>58</v>
      </c>
      <c r="F396" s="12" t="str">
        <f t="shared" si="50"/>
        <v>40=&lt;60</v>
      </c>
      <c r="G396" s="12" t="s">
        <v>58</v>
      </c>
      <c r="H396" s="13">
        <v>3473.95</v>
      </c>
      <c r="I396" s="12" t="str">
        <f t="shared" si="51"/>
        <v>3000=&lt;4000 AZN</v>
      </c>
      <c r="J396" s="13">
        <v>2296.46</v>
      </c>
      <c r="K396" s="12" t="str">
        <f t="shared" si="52"/>
        <v>2000=&lt;3000 AZN</v>
      </c>
      <c r="L396" s="13">
        <f t="shared" si="53"/>
        <v>1177.4899999999998</v>
      </c>
      <c r="M396" s="52" t="str">
        <f t="shared" si="54"/>
        <v>musbet</v>
      </c>
      <c r="N396" s="19" t="str">
        <f t="shared" si="55"/>
        <v>İnayət Bayramov 24830</v>
      </c>
    </row>
    <row r="397" spans="1:14" ht="14.25" customHeight="1" x14ac:dyDescent="0.25">
      <c r="A397" s="12" t="s">
        <v>439</v>
      </c>
      <c r="B397" s="12" t="s">
        <v>56</v>
      </c>
      <c r="C397" s="14">
        <v>33964</v>
      </c>
      <c r="D397" s="17">
        <f t="shared" si="49"/>
        <v>1992</v>
      </c>
      <c r="E397" s="16">
        <f t="shared" si="48"/>
        <v>33</v>
      </c>
      <c r="F397" s="12" t="str">
        <f t="shared" si="50"/>
        <v>30=&lt;40</v>
      </c>
      <c r="G397" s="12" t="s">
        <v>58</v>
      </c>
      <c r="H397" s="13">
        <v>4102.2700000000004</v>
      </c>
      <c r="I397" s="12" t="str">
        <f t="shared" si="51"/>
        <v>4000=&lt;5000 AZN</v>
      </c>
      <c r="J397" s="13">
        <v>3333.18</v>
      </c>
      <c r="K397" s="12" t="str">
        <f t="shared" si="52"/>
        <v>3000=&lt;4000 AZN</v>
      </c>
      <c r="L397" s="13">
        <f t="shared" si="53"/>
        <v>769.0900000000006</v>
      </c>
      <c r="M397" s="52" t="str">
        <f t="shared" si="54"/>
        <v>musbet</v>
      </c>
      <c r="N397" s="19" t="str">
        <f t="shared" si="55"/>
        <v>Mehman Talıbzadə 33964</v>
      </c>
    </row>
    <row r="398" spans="1:14" ht="14.25" customHeight="1" x14ac:dyDescent="0.25">
      <c r="A398" s="12" t="s">
        <v>440</v>
      </c>
      <c r="B398" s="12" t="s">
        <v>39</v>
      </c>
      <c r="C398" s="14">
        <v>29523</v>
      </c>
      <c r="D398" s="17">
        <f t="shared" si="49"/>
        <v>1980</v>
      </c>
      <c r="E398" s="16">
        <f t="shared" si="48"/>
        <v>45</v>
      </c>
      <c r="F398" s="12" t="str">
        <f t="shared" si="50"/>
        <v>40=&lt;60</v>
      </c>
      <c r="G398" s="12" t="s">
        <v>53</v>
      </c>
      <c r="H398" s="13">
        <v>2063.21</v>
      </c>
      <c r="I398" s="12" t="str">
        <f t="shared" si="51"/>
        <v>2000=&lt;3000 AZN</v>
      </c>
      <c r="J398" s="13">
        <v>4120.1899999999996</v>
      </c>
      <c r="K398" s="12" t="str">
        <f t="shared" si="52"/>
        <v>4000=&lt;5000 AZN</v>
      </c>
      <c r="L398" s="13">
        <f t="shared" si="53"/>
        <v>-2056.9799999999996</v>
      </c>
      <c r="M398" s="52" t="str">
        <f t="shared" si="54"/>
        <v>menfi</v>
      </c>
      <c r="N398" s="19" t="str">
        <f t="shared" si="55"/>
        <v>Osman Düzgün 29523</v>
      </c>
    </row>
    <row r="399" spans="1:14" ht="14.25" customHeight="1" x14ac:dyDescent="0.25">
      <c r="A399" s="12" t="s">
        <v>441</v>
      </c>
      <c r="B399" s="12" t="s">
        <v>39</v>
      </c>
      <c r="C399" s="14">
        <v>31904</v>
      </c>
      <c r="D399" s="17">
        <f t="shared" si="49"/>
        <v>1987</v>
      </c>
      <c r="E399" s="16">
        <f t="shared" si="48"/>
        <v>38</v>
      </c>
      <c r="F399" s="12" t="str">
        <f t="shared" si="50"/>
        <v>30=&lt;40</v>
      </c>
      <c r="G399" s="12" t="s">
        <v>42</v>
      </c>
      <c r="H399" s="13">
        <v>610.88</v>
      </c>
      <c r="I399" s="12" t="str">
        <f t="shared" si="51"/>
        <v>&lt;1000 AZN</v>
      </c>
      <c r="J399" s="13">
        <v>2540.81</v>
      </c>
      <c r="K399" s="12" t="str">
        <f t="shared" si="52"/>
        <v>2000=&lt;3000 AZN</v>
      </c>
      <c r="L399" s="13">
        <f t="shared" si="53"/>
        <v>-1929.9299999999998</v>
      </c>
      <c r="M399" s="52" t="str">
        <f t="shared" si="54"/>
        <v>menfi</v>
      </c>
      <c r="N399" s="19" t="str">
        <f t="shared" si="55"/>
        <v>Rza Düzgün 31904</v>
      </c>
    </row>
    <row r="400" spans="1:14" ht="14.25" customHeight="1" x14ac:dyDescent="0.25">
      <c r="A400" s="12" t="s">
        <v>442</v>
      </c>
      <c r="B400" s="12" t="s">
        <v>29</v>
      </c>
      <c r="C400" s="14">
        <v>24010</v>
      </c>
      <c r="D400" s="17">
        <f t="shared" si="49"/>
        <v>1965</v>
      </c>
      <c r="E400" s="16">
        <f t="shared" si="48"/>
        <v>60</v>
      </c>
      <c r="F400" s="12" t="str">
        <f t="shared" si="50"/>
        <v>60=&lt;</v>
      </c>
      <c r="G400" s="12" t="s">
        <v>40</v>
      </c>
      <c r="H400" s="13">
        <v>313.72000000000003</v>
      </c>
      <c r="I400" s="12" t="str">
        <f t="shared" si="51"/>
        <v>&lt;1000 AZN</v>
      </c>
      <c r="J400" s="13">
        <v>599.97</v>
      </c>
      <c r="K400" s="12" t="str">
        <f t="shared" si="52"/>
        <v>&lt;1000 AZN</v>
      </c>
      <c r="L400" s="13">
        <f t="shared" si="53"/>
        <v>-286.25</v>
      </c>
      <c r="M400" s="52" t="str">
        <f t="shared" si="54"/>
        <v>menfi</v>
      </c>
      <c r="N400" s="19" t="str">
        <f t="shared" si="55"/>
        <v>Şəfiqə Bayramov 24010</v>
      </c>
    </row>
    <row r="401" spans="1:14" ht="14.25" customHeight="1" x14ac:dyDescent="0.25">
      <c r="A401" s="12" t="s">
        <v>443</v>
      </c>
      <c r="B401" s="12" t="s">
        <v>30</v>
      </c>
      <c r="C401" s="14">
        <v>37605</v>
      </c>
      <c r="D401" s="17">
        <f t="shared" si="49"/>
        <v>2002</v>
      </c>
      <c r="E401" s="16">
        <f t="shared" si="48"/>
        <v>23</v>
      </c>
      <c r="F401" s="12" t="str">
        <f t="shared" si="50"/>
        <v>20=&lt;30</v>
      </c>
      <c r="G401" s="12" t="s">
        <v>40</v>
      </c>
      <c r="H401" s="13">
        <v>2380.5100000000002</v>
      </c>
      <c r="I401" s="12" t="str">
        <f t="shared" si="51"/>
        <v>2000=&lt;3000 AZN</v>
      </c>
      <c r="J401" s="13">
        <v>2405.5</v>
      </c>
      <c r="K401" s="12" t="str">
        <f t="shared" si="52"/>
        <v>2000=&lt;3000 AZN</v>
      </c>
      <c r="L401" s="13">
        <f t="shared" si="53"/>
        <v>-24.989999999999782</v>
      </c>
      <c r="M401" s="52" t="str">
        <f t="shared" si="54"/>
        <v>menfi</v>
      </c>
      <c r="N401" s="19" t="str">
        <f t="shared" si="55"/>
        <v>Xaliq Bəktaşi 37605</v>
      </c>
    </row>
    <row r="402" spans="1:14" ht="14.25" customHeight="1" x14ac:dyDescent="0.25">
      <c r="A402" s="12" t="s">
        <v>444</v>
      </c>
      <c r="B402" s="12" t="s">
        <v>29</v>
      </c>
      <c r="C402" s="14">
        <v>33468</v>
      </c>
      <c r="D402" s="17">
        <f t="shared" si="49"/>
        <v>1991</v>
      </c>
      <c r="E402" s="16">
        <f t="shared" si="48"/>
        <v>34</v>
      </c>
      <c r="F402" s="12" t="str">
        <f t="shared" si="50"/>
        <v>30=&lt;40</v>
      </c>
      <c r="G402" s="12" t="s">
        <v>63</v>
      </c>
      <c r="H402" s="13">
        <v>2741.5</v>
      </c>
      <c r="I402" s="12" t="str">
        <f t="shared" si="51"/>
        <v>2000=&lt;3000 AZN</v>
      </c>
      <c r="J402" s="13">
        <v>3230.73</v>
      </c>
      <c r="K402" s="12" t="str">
        <f t="shared" si="52"/>
        <v>3000=&lt;4000 AZN</v>
      </c>
      <c r="L402" s="13">
        <f t="shared" si="53"/>
        <v>-489.23</v>
      </c>
      <c r="M402" s="52" t="str">
        <f t="shared" si="54"/>
        <v>menfi</v>
      </c>
      <c r="N402" s="19" t="str">
        <f t="shared" si="55"/>
        <v>Dilavər Bayramov 33468</v>
      </c>
    </row>
    <row r="403" spans="1:14" ht="14.25" customHeight="1" x14ac:dyDescent="0.25">
      <c r="A403" s="12" t="s">
        <v>445</v>
      </c>
      <c r="B403" s="12" t="s">
        <v>65</v>
      </c>
      <c r="C403" s="14">
        <v>27809</v>
      </c>
      <c r="D403" s="17">
        <f t="shared" si="49"/>
        <v>1976</v>
      </c>
      <c r="E403" s="16">
        <f t="shared" si="48"/>
        <v>49</v>
      </c>
      <c r="F403" s="12" t="str">
        <f t="shared" si="50"/>
        <v>40=&lt;60</v>
      </c>
      <c r="G403" s="12" t="s">
        <v>60</v>
      </c>
      <c r="H403" s="13">
        <v>2428.6999999999998</v>
      </c>
      <c r="I403" s="12" t="str">
        <f t="shared" si="51"/>
        <v>2000=&lt;3000 AZN</v>
      </c>
      <c r="J403" s="13">
        <v>1433.8</v>
      </c>
      <c r="K403" s="12" t="str">
        <f t="shared" si="52"/>
        <v>1000=&lt;2000 AZN</v>
      </c>
      <c r="L403" s="13">
        <f t="shared" si="53"/>
        <v>994.89999999999986</v>
      </c>
      <c r="M403" s="52" t="str">
        <f t="shared" si="54"/>
        <v>musbet</v>
      </c>
      <c r="N403" s="19" t="str">
        <f t="shared" si="55"/>
        <v>Yaşar Cabbarov 27809</v>
      </c>
    </row>
    <row r="404" spans="1:14" ht="14.25" customHeight="1" x14ac:dyDescent="0.25">
      <c r="A404" s="12" t="s">
        <v>446</v>
      </c>
      <c r="B404" s="12" t="s">
        <v>65</v>
      </c>
      <c r="C404" s="14">
        <v>32985</v>
      </c>
      <c r="D404" s="17">
        <f t="shared" si="49"/>
        <v>1990</v>
      </c>
      <c r="E404" s="16">
        <f t="shared" si="48"/>
        <v>35</v>
      </c>
      <c r="F404" s="12" t="str">
        <f t="shared" si="50"/>
        <v>30=&lt;40</v>
      </c>
      <c r="G404" s="12" t="s">
        <v>49</v>
      </c>
      <c r="H404" s="13">
        <v>1750.77</v>
      </c>
      <c r="I404" s="12" t="str">
        <f t="shared" si="51"/>
        <v>1000=&lt;2000 AZN</v>
      </c>
      <c r="J404" s="13">
        <v>2439.08</v>
      </c>
      <c r="K404" s="12" t="str">
        <f t="shared" si="52"/>
        <v>2000=&lt;3000 AZN</v>
      </c>
      <c r="L404" s="13">
        <f t="shared" si="53"/>
        <v>-688.31</v>
      </c>
      <c r="M404" s="52" t="str">
        <f t="shared" si="54"/>
        <v>menfi</v>
      </c>
      <c r="N404" s="19" t="str">
        <f t="shared" si="55"/>
        <v>Almaz Cabbarov 32985</v>
      </c>
    </row>
    <row r="405" spans="1:14" ht="14.25" customHeight="1" x14ac:dyDescent="0.25">
      <c r="A405" s="12" t="s">
        <v>447</v>
      </c>
      <c r="B405" s="12" t="s">
        <v>26</v>
      </c>
      <c r="C405" s="14">
        <v>29365</v>
      </c>
      <c r="D405" s="17">
        <f t="shared" si="49"/>
        <v>1980</v>
      </c>
      <c r="E405" s="16">
        <f t="shared" si="48"/>
        <v>45</v>
      </c>
      <c r="F405" s="12" t="str">
        <f t="shared" si="50"/>
        <v>40=&lt;60</v>
      </c>
      <c r="G405" s="12" t="s">
        <v>49</v>
      </c>
      <c r="H405" s="13">
        <v>4492.2299999999996</v>
      </c>
      <c r="I405" s="12" t="str">
        <f t="shared" si="51"/>
        <v>4000=&lt;5000 AZN</v>
      </c>
      <c r="J405" s="13">
        <v>3992.57</v>
      </c>
      <c r="K405" s="12" t="str">
        <f t="shared" si="52"/>
        <v>3000=&lt;4000 AZN</v>
      </c>
      <c r="L405" s="13">
        <f t="shared" si="53"/>
        <v>499.6599999999994</v>
      </c>
      <c r="M405" s="52" t="str">
        <f t="shared" si="54"/>
        <v>musbet</v>
      </c>
      <c r="N405" s="19" t="str">
        <f t="shared" si="55"/>
        <v>İmran Həsənli 29365</v>
      </c>
    </row>
    <row r="406" spans="1:14" ht="14.25" customHeight="1" x14ac:dyDescent="0.25">
      <c r="A406" s="12" t="s">
        <v>448</v>
      </c>
      <c r="B406" s="12" t="s">
        <v>30</v>
      </c>
      <c r="C406" s="14">
        <v>36235</v>
      </c>
      <c r="D406" s="17">
        <f t="shared" si="49"/>
        <v>1999</v>
      </c>
      <c r="E406" s="16">
        <f t="shared" si="48"/>
        <v>26</v>
      </c>
      <c r="F406" s="12" t="str">
        <f t="shared" si="50"/>
        <v>20=&lt;30</v>
      </c>
      <c r="G406" s="12" t="s">
        <v>42</v>
      </c>
      <c r="H406" s="13">
        <v>2184.73</v>
      </c>
      <c r="I406" s="12" t="str">
        <f t="shared" si="51"/>
        <v>2000=&lt;3000 AZN</v>
      </c>
      <c r="J406" s="13">
        <v>1092.0999999999999</v>
      </c>
      <c r="K406" s="12" t="str">
        <f t="shared" si="52"/>
        <v>1000=&lt;2000 AZN</v>
      </c>
      <c r="L406" s="13">
        <f t="shared" si="53"/>
        <v>1092.6300000000001</v>
      </c>
      <c r="M406" s="52" t="str">
        <f t="shared" si="54"/>
        <v>musbet</v>
      </c>
      <c r="N406" s="19" t="str">
        <f t="shared" si="55"/>
        <v>Pünhan Bəktaşi 36235</v>
      </c>
    </row>
    <row r="407" spans="1:14" ht="14.25" customHeight="1" x14ac:dyDescent="0.25">
      <c r="A407" s="12" t="s">
        <v>449</v>
      </c>
      <c r="B407" s="12" t="s">
        <v>26</v>
      </c>
      <c r="C407" s="14">
        <v>30091</v>
      </c>
      <c r="D407" s="17">
        <f t="shared" si="49"/>
        <v>1982</v>
      </c>
      <c r="E407" s="16">
        <f t="shared" si="48"/>
        <v>43</v>
      </c>
      <c r="F407" s="12" t="str">
        <f t="shared" si="50"/>
        <v>40=&lt;60</v>
      </c>
      <c r="G407" s="12" t="s">
        <v>53</v>
      </c>
      <c r="H407" s="13">
        <v>2133.64</v>
      </c>
      <c r="I407" s="12" t="str">
        <f t="shared" si="51"/>
        <v>2000=&lt;3000 AZN</v>
      </c>
      <c r="J407" s="13">
        <v>3213.13</v>
      </c>
      <c r="K407" s="12" t="str">
        <f t="shared" si="52"/>
        <v>3000=&lt;4000 AZN</v>
      </c>
      <c r="L407" s="13">
        <f t="shared" si="53"/>
        <v>-1079.4900000000002</v>
      </c>
      <c r="M407" s="52" t="str">
        <f t="shared" si="54"/>
        <v>menfi</v>
      </c>
      <c r="N407" s="19" t="str">
        <f t="shared" si="55"/>
        <v>Heydər Həsənli 30091</v>
      </c>
    </row>
    <row r="408" spans="1:14" ht="14.25" customHeight="1" x14ac:dyDescent="0.25">
      <c r="A408" s="12" t="s">
        <v>450</v>
      </c>
      <c r="B408" s="12" t="s">
        <v>44</v>
      </c>
      <c r="C408" s="14">
        <v>27116</v>
      </c>
      <c r="D408" s="17">
        <f t="shared" si="49"/>
        <v>1974</v>
      </c>
      <c r="E408" s="16">
        <f t="shared" si="48"/>
        <v>51</v>
      </c>
      <c r="F408" s="12" t="str">
        <f t="shared" si="50"/>
        <v>40=&lt;60</v>
      </c>
      <c r="G408" s="12" t="s">
        <v>63</v>
      </c>
      <c r="H408" s="13">
        <v>4732.76</v>
      </c>
      <c r="I408" s="12" t="str">
        <f t="shared" si="51"/>
        <v>4000=&lt;5000 AZN</v>
      </c>
      <c r="J408" s="13">
        <v>1274.3800000000001</v>
      </c>
      <c r="K408" s="12" t="str">
        <f t="shared" si="52"/>
        <v>1000=&lt;2000 AZN</v>
      </c>
      <c r="L408" s="13">
        <f t="shared" si="53"/>
        <v>3458.38</v>
      </c>
      <c r="M408" s="52" t="str">
        <f t="shared" si="54"/>
        <v>musbet</v>
      </c>
      <c r="N408" s="19" t="str">
        <f t="shared" si="55"/>
        <v>Simuzər Təhmin 27116</v>
      </c>
    </row>
    <row r="409" spans="1:14" ht="14.25" customHeight="1" x14ac:dyDescent="0.25">
      <c r="A409" s="12" t="s">
        <v>451</v>
      </c>
      <c r="B409" s="12" t="s">
        <v>48</v>
      </c>
      <c r="C409" s="14">
        <v>36845</v>
      </c>
      <c r="D409" s="17">
        <f t="shared" si="49"/>
        <v>2000</v>
      </c>
      <c r="E409" s="16">
        <f t="shared" si="48"/>
        <v>25</v>
      </c>
      <c r="F409" s="12" t="str">
        <f t="shared" si="50"/>
        <v>20=&lt;30</v>
      </c>
      <c r="G409" s="12" t="s">
        <v>42</v>
      </c>
      <c r="H409" s="13">
        <v>2424.2800000000002</v>
      </c>
      <c r="I409" s="12" t="str">
        <f t="shared" si="51"/>
        <v>2000=&lt;3000 AZN</v>
      </c>
      <c r="J409" s="13">
        <v>2356.42</v>
      </c>
      <c r="K409" s="12" t="str">
        <f t="shared" si="52"/>
        <v>2000=&lt;3000 AZN</v>
      </c>
      <c r="L409" s="13">
        <f t="shared" si="53"/>
        <v>67.860000000000127</v>
      </c>
      <c r="M409" s="52" t="str">
        <f t="shared" si="54"/>
        <v>musbet</v>
      </c>
      <c r="N409" s="19" t="str">
        <f t="shared" si="55"/>
        <v>Allahverdi Abbasbəyli 36845</v>
      </c>
    </row>
    <row r="410" spans="1:14" ht="14.25" customHeight="1" x14ac:dyDescent="0.25">
      <c r="A410" s="12" t="s">
        <v>452</v>
      </c>
      <c r="B410" s="12" t="s">
        <v>27</v>
      </c>
      <c r="C410" s="14">
        <v>32249</v>
      </c>
      <c r="D410" s="17">
        <f t="shared" si="49"/>
        <v>1988</v>
      </c>
      <c r="E410" s="16">
        <f t="shared" si="48"/>
        <v>37</v>
      </c>
      <c r="F410" s="12" t="str">
        <f t="shared" si="50"/>
        <v>30=&lt;40</v>
      </c>
      <c r="G410" s="12" t="s">
        <v>51</v>
      </c>
      <c r="H410" s="13">
        <v>4571.55</v>
      </c>
      <c r="I410" s="12" t="str">
        <f t="shared" si="51"/>
        <v>4000=&lt;5000 AZN</v>
      </c>
      <c r="J410" s="13">
        <v>3812.18</v>
      </c>
      <c r="K410" s="12" t="str">
        <f t="shared" si="52"/>
        <v>3000=&lt;4000 AZN</v>
      </c>
      <c r="L410" s="13">
        <f t="shared" si="53"/>
        <v>759.37000000000035</v>
      </c>
      <c r="M410" s="52" t="str">
        <f t="shared" si="54"/>
        <v>musbet</v>
      </c>
      <c r="N410" s="19" t="str">
        <f t="shared" si="55"/>
        <v>Tunar Vurğun 32249</v>
      </c>
    </row>
    <row r="411" spans="1:14" ht="14.25" customHeight="1" x14ac:dyDescent="0.25">
      <c r="A411" s="12" t="s">
        <v>453</v>
      </c>
      <c r="B411" s="12" t="s">
        <v>26</v>
      </c>
      <c r="C411" s="14">
        <v>23897</v>
      </c>
      <c r="D411" s="17">
        <f t="shared" si="49"/>
        <v>1965</v>
      </c>
      <c r="E411" s="16">
        <f t="shared" si="48"/>
        <v>60</v>
      </c>
      <c r="F411" s="12" t="str">
        <f t="shared" si="50"/>
        <v>60=&lt;</v>
      </c>
      <c r="G411" s="12" t="s">
        <v>40</v>
      </c>
      <c r="H411" s="13">
        <v>3311.14</v>
      </c>
      <c r="I411" s="12" t="str">
        <f t="shared" si="51"/>
        <v>3000=&lt;4000 AZN</v>
      </c>
      <c r="J411" s="13">
        <v>1922.47</v>
      </c>
      <c r="K411" s="12" t="str">
        <f t="shared" si="52"/>
        <v>1000=&lt;2000 AZN</v>
      </c>
      <c r="L411" s="13">
        <f t="shared" si="53"/>
        <v>1388.6699999999998</v>
      </c>
      <c r="M411" s="52" t="str">
        <f t="shared" si="54"/>
        <v>musbet</v>
      </c>
      <c r="N411" s="19" t="str">
        <f t="shared" si="55"/>
        <v>Elton Həsənli 23897</v>
      </c>
    </row>
    <row r="412" spans="1:14" ht="14.25" customHeight="1" x14ac:dyDescent="0.25">
      <c r="A412" s="12" t="s">
        <v>155</v>
      </c>
      <c r="B412" s="12" t="s">
        <v>56</v>
      </c>
      <c r="C412" s="14">
        <v>29191</v>
      </c>
      <c r="D412" s="17">
        <f t="shared" si="49"/>
        <v>1979</v>
      </c>
      <c r="E412" s="16">
        <f t="shared" si="48"/>
        <v>46</v>
      </c>
      <c r="F412" s="12" t="str">
        <f t="shared" si="50"/>
        <v>40=&lt;60</v>
      </c>
      <c r="G412" s="12" t="s">
        <v>60</v>
      </c>
      <c r="H412" s="13">
        <v>1825.14</v>
      </c>
      <c r="I412" s="12" t="str">
        <f t="shared" si="51"/>
        <v>1000=&lt;2000 AZN</v>
      </c>
      <c r="J412" s="13">
        <v>3195.17</v>
      </c>
      <c r="K412" s="12" t="str">
        <f t="shared" si="52"/>
        <v>3000=&lt;4000 AZN</v>
      </c>
      <c r="L412" s="13">
        <f t="shared" si="53"/>
        <v>-1370.03</v>
      </c>
      <c r="M412" s="52" t="str">
        <f t="shared" si="54"/>
        <v>menfi</v>
      </c>
      <c r="N412" s="19" t="str">
        <f t="shared" si="55"/>
        <v>Fimar Talıbzadə 29191</v>
      </c>
    </row>
    <row r="413" spans="1:14" ht="14.25" customHeight="1" x14ac:dyDescent="0.25">
      <c r="A413" s="12" t="s">
        <v>454</v>
      </c>
      <c r="B413" s="12" t="s">
        <v>44</v>
      </c>
      <c r="C413" s="14">
        <v>35865</v>
      </c>
      <c r="D413" s="17">
        <f t="shared" si="49"/>
        <v>1998</v>
      </c>
      <c r="E413" s="16">
        <f t="shared" si="48"/>
        <v>27</v>
      </c>
      <c r="F413" s="12" t="str">
        <f t="shared" si="50"/>
        <v>20=&lt;30</v>
      </c>
      <c r="G413" s="12" t="s">
        <v>49</v>
      </c>
      <c r="H413" s="13">
        <v>1885.39</v>
      </c>
      <c r="I413" s="12" t="str">
        <f t="shared" si="51"/>
        <v>1000=&lt;2000 AZN</v>
      </c>
      <c r="J413" s="13">
        <v>2588.9</v>
      </c>
      <c r="K413" s="12" t="str">
        <f t="shared" si="52"/>
        <v>2000=&lt;3000 AZN</v>
      </c>
      <c r="L413" s="13">
        <f t="shared" si="53"/>
        <v>-703.51</v>
      </c>
      <c r="M413" s="52" t="str">
        <f t="shared" si="54"/>
        <v>menfi</v>
      </c>
      <c r="N413" s="19" t="str">
        <f t="shared" si="55"/>
        <v>Qızbəs Təhmin 35865</v>
      </c>
    </row>
    <row r="414" spans="1:14" ht="14.25" customHeight="1" x14ac:dyDescent="0.25">
      <c r="A414" s="12" t="s">
        <v>455</v>
      </c>
      <c r="B414" s="12" t="s">
        <v>48</v>
      </c>
      <c r="C414" s="14">
        <v>34030</v>
      </c>
      <c r="D414" s="17">
        <f t="shared" si="49"/>
        <v>1993</v>
      </c>
      <c r="E414" s="16">
        <f t="shared" si="48"/>
        <v>32</v>
      </c>
      <c r="F414" s="12" t="str">
        <f t="shared" si="50"/>
        <v>30=&lt;40</v>
      </c>
      <c r="G414" s="12" t="s">
        <v>42</v>
      </c>
      <c r="H414" s="13">
        <v>1776.45</v>
      </c>
      <c r="I414" s="12" t="str">
        <f t="shared" si="51"/>
        <v>1000=&lt;2000 AZN</v>
      </c>
      <c r="J414" s="13">
        <v>4775.47</v>
      </c>
      <c r="K414" s="12" t="str">
        <f t="shared" si="52"/>
        <v>4000=&lt;5000 AZN</v>
      </c>
      <c r="L414" s="13">
        <f t="shared" si="53"/>
        <v>-2999.0200000000004</v>
      </c>
      <c r="M414" s="52" t="str">
        <f t="shared" si="54"/>
        <v>menfi</v>
      </c>
      <c r="N414" s="19" t="str">
        <f t="shared" si="55"/>
        <v>İlham Abbasbəyli 34030</v>
      </c>
    </row>
    <row r="415" spans="1:14" ht="14.25" customHeight="1" x14ac:dyDescent="0.25">
      <c r="A415" s="12" t="s">
        <v>456</v>
      </c>
      <c r="B415" s="12" t="s">
        <v>26</v>
      </c>
      <c r="C415" s="14">
        <v>25391</v>
      </c>
      <c r="D415" s="17">
        <f t="shared" si="49"/>
        <v>1969</v>
      </c>
      <c r="E415" s="16">
        <f t="shared" si="48"/>
        <v>56</v>
      </c>
      <c r="F415" s="12" t="str">
        <f t="shared" si="50"/>
        <v>40=&lt;60</v>
      </c>
      <c r="G415" s="12" t="s">
        <v>42</v>
      </c>
      <c r="H415" s="13">
        <v>2444.96</v>
      </c>
      <c r="I415" s="12" t="str">
        <f t="shared" si="51"/>
        <v>2000=&lt;3000 AZN</v>
      </c>
      <c r="J415" s="13">
        <v>1902.17</v>
      </c>
      <c r="K415" s="12" t="str">
        <f t="shared" si="52"/>
        <v>1000=&lt;2000 AZN</v>
      </c>
      <c r="L415" s="13">
        <f t="shared" si="53"/>
        <v>542.79</v>
      </c>
      <c r="M415" s="52" t="str">
        <f t="shared" si="54"/>
        <v>musbet</v>
      </c>
      <c r="N415" s="19" t="str">
        <f t="shared" si="55"/>
        <v>Kəramət Həsənli 25391</v>
      </c>
    </row>
    <row r="416" spans="1:14" ht="14.25" customHeight="1" x14ac:dyDescent="0.25">
      <c r="A416" s="12" t="s">
        <v>457</v>
      </c>
      <c r="B416" s="12" t="s">
        <v>27</v>
      </c>
      <c r="C416" s="14">
        <v>25037</v>
      </c>
      <c r="D416" s="17">
        <f t="shared" si="49"/>
        <v>1968</v>
      </c>
      <c r="E416" s="16">
        <f t="shared" si="48"/>
        <v>57</v>
      </c>
      <c r="F416" s="12" t="str">
        <f t="shared" si="50"/>
        <v>40=&lt;60</v>
      </c>
      <c r="G416" s="12" t="s">
        <v>40</v>
      </c>
      <c r="H416" s="13">
        <v>3691.92</v>
      </c>
      <c r="I416" s="12" t="str">
        <f t="shared" si="51"/>
        <v>3000=&lt;4000 AZN</v>
      </c>
      <c r="J416" s="13">
        <v>1757.27</v>
      </c>
      <c r="K416" s="12" t="str">
        <f t="shared" si="52"/>
        <v>1000=&lt;2000 AZN</v>
      </c>
      <c r="L416" s="13">
        <f t="shared" si="53"/>
        <v>1934.65</v>
      </c>
      <c r="M416" s="52" t="str">
        <f t="shared" si="54"/>
        <v>musbet</v>
      </c>
      <c r="N416" s="19" t="str">
        <f t="shared" si="55"/>
        <v>Sənubər Vurğun 25037</v>
      </c>
    </row>
    <row r="417" spans="1:14" ht="14.25" customHeight="1" x14ac:dyDescent="0.25">
      <c r="A417" s="12" t="s">
        <v>458</v>
      </c>
      <c r="B417" s="12" t="s">
        <v>30</v>
      </c>
      <c r="C417" s="14">
        <v>29728</v>
      </c>
      <c r="D417" s="17">
        <f t="shared" si="49"/>
        <v>1981</v>
      </c>
      <c r="E417" s="16">
        <f t="shared" si="48"/>
        <v>44</v>
      </c>
      <c r="F417" s="12" t="str">
        <f t="shared" si="50"/>
        <v>40=&lt;60</v>
      </c>
      <c r="G417" s="12" t="s">
        <v>51</v>
      </c>
      <c r="H417" s="13">
        <v>1295.05</v>
      </c>
      <c r="I417" s="12" t="str">
        <f t="shared" si="51"/>
        <v>1000=&lt;2000 AZN</v>
      </c>
      <c r="J417" s="13">
        <v>2943.64</v>
      </c>
      <c r="K417" s="12" t="str">
        <f t="shared" si="52"/>
        <v>2000=&lt;3000 AZN</v>
      </c>
      <c r="L417" s="13">
        <f t="shared" si="53"/>
        <v>-1648.59</v>
      </c>
      <c r="M417" s="52" t="str">
        <f t="shared" si="54"/>
        <v>menfi</v>
      </c>
      <c r="N417" s="19" t="str">
        <f t="shared" si="55"/>
        <v>Cahangir Bəktaşi 29728</v>
      </c>
    </row>
    <row r="418" spans="1:14" ht="14.25" customHeight="1" x14ac:dyDescent="0.25">
      <c r="A418" s="12" t="s">
        <v>459</v>
      </c>
      <c r="B418" s="12" t="s">
        <v>27</v>
      </c>
      <c r="C418" s="14">
        <v>25770</v>
      </c>
      <c r="D418" s="17">
        <f t="shared" si="49"/>
        <v>1970</v>
      </c>
      <c r="E418" s="16">
        <f t="shared" si="48"/>
        <v>55</v>
      </c>
      <c r="F418" s="12" t="str">
        <f t="shared" si="50"/>
        <v>40=&lt;60</v>
      </c>
      <c r="G418" s="12" t="s">
        <v>63</v>
      </c>
      <c r="H418" s="13">
        <v>997.92</v>
      </c>
      <c r="I418" s="12" t="str">
        <f t="shared" si="51"/>
        <v>&lt;1000 AZN</v>
      </c>
      <c r="J418" s="13">
        <v>2309.14</v>
      </c>
      <c r="K418" s="12" t="str">
        <f t="shared" si="52"/>
        <v>2000=&lt;3000 AZN</v>
      </c>
      <c r="L418" s="13">
        <f t="shared" si="53"/>
        <v>-1311.2199999999998</v>
      </c>
      <c r="M418" s="52" t="str">
        <f t="shared" si="54"/>
        <v>menfi</v>
      </c>
      <c r="N418" s="19" t="str">
        <f t="shared" si="55"/>
        <v>Fərqanə Vurğun 25770</v>
      </c>
    </row>
    <row r="419" spans="1:14" ht="14.25" customHeight="1" x14ac:dyDescent="0.25">
      <c r="A419" s="12" t="s">
        <v>460</v>
      </c>
      <c r="B419" s="12" t="s">
        <v>26</v>
      </c>
      <c r="C419" s="14">
        <v>26950</v>
      </c>
      <c r="D419" s="17">
        <f t="shared" si="49"/>
        <v>1973</v>
      </c>
      <c r="E419" s="16">
        <f t="shared" si="48"/>
        <v>52</v>
      </c>
      <c r="F419" s="12" t="str">
        <f t="shared" si="50"/>
        <v>40=&lt;60</v>
      </c>
      <c r="G419" s="12" t="s">
        <v>45</v>
      </c>
      <c r="H419" s="13">
        <v>4192.71</v>
      </c>
      <c r="I419" s="12" t="str">
        <f t="shared" si="51"/>
        <v>4000=&lt;5000 AZN</v>
      </c>
      <c r="J419" s="13">
        <v>824.03</v>
      </c>
      <c r="K419" s="12" t="str">
        <f t="shared" si="52"/>
        <v>&lt;1000 AZN</v>
      </c>
      <c r="L419" s="13">
        <f t="shared" si="53"/>
        <v>3368.6800000000003</v>
      </c>
      <c r="M419" s="52" t="str">
        <f t="shared" si="54"/>
        <v>musbet</v>
      </c>
      <c r="N419" s="19" t="str">
        <f t="shared" si="55"/>
        <v>Afaq Həsənli 26950</v>
      </c>
    </row>
    <row r="420" spans="1:14" ht="14.25" customHeight="1" x14ac:dyDescent="0.25">
      <c r="A420" s="12" t="s">
        <v>461</v>
      </c>
      <c r="B420" s="12" t="s">
        <v>28</v>
      </c>
      <c r="C420" s="14">
        <v>33806</v>
      </c>
      <c r="D420" s="17">
        <f t="shared" si="49"/>
        <v>1992</v>
      </c>
      <c r="E420" s="16">
        <f t="shared" si="48"/>
        <v>33</v>
      </c>
      <c r="F420" s="12" t="str">
        <f t="shared" si="50"/>
        <v>30=&lt;40</v>
      </c>
      <c r="G420" s="12" t="s">
        <v>42</v>
      </c>
      <c r="H420" s="13">
        <v>496.29</v>
      </c>
      <c r="I420" s="12" t="str">
        <f t="shared" si="51"/>
        <v>&lt;1000 AZN</v>
      </c>
      <c r="J420" s="13">
        <v>2382.86</v>
      </c>
      <c r="K420" s="12" t="str">
        <f t="shared" si="52"/>
        <v>2000=&lt;3000 AZN</v>
      </c>
      <c r="L420" s="13">
        <f t="shared" si="53"/>
        <v>-1886.5700000000002</v>
      </c>
      <c r="M420" s="52" t="str">
        <f t="shared" si="54"/>
        <v>menfi</v>
      </c>
      <c r="N420" s="19" t="str">
        <f t="shared" si="55"/>
        <v>Ağca Mirzəyev 33806</v>
      </c>
    </row>
    <row r="421" spans="1:14" ht="14.25" customHeight="1" x14ac:dyDescent="0.25">
      <c r="A421" s="12" t="s">
        <v>462</v>
      </c>
      <c r="B421" s="12" t="s">
        <v>48</v>
      </c>
      <c r="C421" s="14">
        <v>22647</v>
      </c>
      <c r="D421" s="17">
        <f t="shared" si="49"/>
        <v>1962</v>
      </c>
      <c r="E421" s="16">
        <f t="shared" si="48"/>
        <v>63</v>
      </c>
      <c r="F421" s="12" t="str">
        <f t="shared" si="50"/>
        <v>60=&lt;</v>
      </c>
      <c r="G421" s="12" t="s">
        <v>40</v>
      </c>
      <c r="H421" s="13">
        <v>2509.52</v>
      </c>
      <c r="I421" s="12" t="str">
        <f t="shared" si="51"/>
        <v>2000=&lt;3000 AZN</v>
      </c>
      <c r="J421" s="13">
        <v>2135.8200000000002</v>
      </c>
      <c r="K421" s="12" t="str">
        <f t="shared" si="52"/>
        <v>2000=&lt;3000 AZN</v>
      </c>
      <c r="L421" s="13">
        <f t="shared" si="53"/>
        <v>373.69999999999982</v>
      </c>
      <c r="M421" s="52" t="str">
        <f t="shared" si="54"/>
        <v>musbet</v>
      </c>
      <c r="N421" s="19" t="str">
        <f t="shared" si="55"/>
        <v>Aliyə Abbasbəyli 22647</v>
      </c>
    </row>
    <row r="422" spans="1:14" ht="14.25" customHeight="1" x14ac:dyDescent="0.25">
      <c r="A422" s="12" t="s">
        <v>463</v>
      </c>
      <c r="B422" s="12" t="s">
        <v>48</v>
      </c>
      <c r="C422" s="14">
        <v>32811</v>
      </c>
      <c r="D422" s="17">
        <f t="shared" si="49"/>
        <v>1989</v>
      </c>
      <c r="E422" s="16">
        <f t="shared" si="48"/>
        <v>36</v>
      </c>
      <c r="F422" s="12" t="str">
        <f t="shared" si="50"/>
        <v>30=&lt;40</v>
      </c>
      <c r="G422" s="12" t="s">
        <v>45</v>
      </c>
      <c r="H422" s="13">
        <v>2493.17</v>
      </c>
      <c r="I422" s="12" t="str">
        <f t="shared" si="51"/>
        <v>2000=&lt;3000 AZN</v>
      </c>
      <c r="J422" s="13">
        <v>4563.66</v>
      </c>
      <c r="K422" s="12" t="str">
        <f t="shared" si="52"/>
        <v>4000=&lt;5000 AZN</v>
      </c>
      <c r="L422" s="13">
        <f t="shared" si="53"/>
        <v>-2070.4899999999998</v>
      </c>
      <c r="M422" s="52" t="str">
        <f t="shared" si="54"/>
        <v>menfi</v>
      </c>
      <c r="N422" s="19" t="str">
        <f t="shared" si="55"/>
        <v>Nəsimi Abbasbəyli 32811</v>
      </c>
    </row>
    <row r="423" spans="1:14" ht="14.25" customHeight="1" x14ac:dyDescent="0.25">
      <c r="A423" s="12" t="s">
        <v>464</v>
      </c>
      <c r="B423" s="12" t="s">
        <v>39</v>
      </c>
      <c r="C423" s="14">
        <v>33020</v>
      </c>
      <c r="D423" s="17">
        <f t="shared" si="49"/>
        <v>1990</v>
      </c>
      <c r="E423" s="16">
        <f t="shared" si="48"/>
        <v>35</v>
      </c>
      <c r="F423" s="12" t="str">
        <f t="shared" si="50"/>
        <v>30=&lt;40</v>
      </c>
      <c r="G423" s="12" t="s">
        <v>49</v>
      </c>
      <c r="H423" s="13">
        <v>4236.3900000000003</v>
      </c>
      <c r="I423" s="12" t="str">
        <f t="shared" si="51"/>
        <v>4000=&lt;5000 AZN</v>
      </c>
      <c r="J423" s="13">
        <v>2067.1999999999998</v>
      </c>
      <c r="K423" s="12" t="str">
        <f t="shared" si="52"/>
        <v>2000=&lt;3000 AZN</v>
      </c>
      <c r="L423" s="13">
        <f t="shared" si="53"/>
        <v>2169.1900000000005</v>
      </c>
      <c r="M423" s="52" t="str">
        <f t="shared" si="54"/>
        <v>musbet</v>
      </c>
      <c r="N423" s="19" t="str">
        <f t="shared" si="55"/>
        <v>Şükufə Düzgün 33020</v>
      </c>
    </row>
    <row r="424" spans="1:14" ht="14.25" customHeight="1" x14ac:dyDescent="0.25">
      <c r="A424" s="12" t="s">
        <v>465</v>
      </c>
      <c r="B424" s="12" t="s">
        <v>26</v>
      </c>
      <c r="C424" s="14">
        <v>25113</v>
      </c>
      <c r="D424" s="17">
        <f t="shared" si="49"/>
        <v>1968</v>
      </c>
      <c r="E424" s="16">
        <f t="shared" si="48"/>
        <v>57</v>
      </c>
      <c r="F424" s="12" t="str">
        <f t="shared" si="50"/>
        <v>40=&lt;60</v>
      </c>
      <c r="G424" s="12" t="s">
        <v>60</v>
      </c>
      <c r="H424" s="13">
        <v>2234.0100000000002</v>
      </c>
      <c r="I424" s="12" t="str">
        <f t="shared" si="51"/>
        <v>2000=&lt;3000 AZN</v>
      </c>
      <c r="J424" s="13">
        <v>1012.58</v>
      </c>
      <c r="K424" s="12" t="str">
        <f t="shared" si="52"/>
        <v>1000=&lt;2000 AZN</v>
      </c>
      <c r="L424" s="13">
        <f t="shared" si="53"/>
        <v>1221.4300000000003</v>
      </c>
      <c r="M424" s="52" t="str">
        <f t="shared" si="54"/>
        <v>musbet</v>
      </c>
      <c r="N424" s="19" t="str">
        <f t="shared" si="55"/>
        <v>Lətif Həsənli 25113</v>
      </c>
    </row>
    <row r="425" spans="1:14" ht="14.25" customHeight="1" x14ac:dyDescent="0.25">
      <c r="A425" s="12" t="s">
        <v>466</v>
      </c>
      <c r="B425" s="12" t="s">
        <v>39</v>
      </c>
      <c r="C425" s="14">
        <v>37438</v>
      </c>
      <c r="D425" s="17">
        <f t="shared" si="49"/>
        <v>2002</v>
      </c>
      <c r="E425" s="16">
        <f t="shared" si="48"/>
        <v>23</v>
      </c>
      <c r="F425" s="12" t="str">
        <f t="shared" si="50"/>
        <v>20=&lt;30</v>
      </c>
      <c r="G425" s="12" t="s">
        <v>49</v>
      </c>
      <c r="H425" s="13">
        <v>980.34</v>
      </c>
      <c r="I425" s="12" t="str">
        <f t="shared" si="51"/>
        <v>&lt;1000 AZN</v>
      </c>
      <c r="J425" s="13">
        <v>2927.36</v>
      </c>
      <c r="K425" s="12" t="str">
        <f t="shared" si="52"/>
        <v>2000=&lt;3000 AZN</v>
      </c>
      <c r="L425" s="13">
        <f t="shared" si="53"/>
        <v>-1947.02</v>
      </c>
      <c r="M425" s="52" t="str">
        <f t="shared" si="54"/>
        <v>menfi</v>
      </c>
      <c r="N425" s="19" t="str">
        <f t="shared" si="55"/>
        <v>Şahnaz Düzgün 37438</v>
      </c>
    </row>
    <row r="426" spans="1:14" ht="14.25" customHeight="1" x14ac:dyDescent="0.25">
      <c r="A426" s="12" t="s">
        <v>467</v>
      </c>
      <c r="B426" s="12" t="s">
        <v>65</v>
      </c>
      <c r="C426" s="14">
        <v>36725</v>
      </c>
      <c r="D426" s="17">
        <f t="shared" si="49"/>
        <v>2000</v>
      </c>
      <c r="E426" s="16">
        <f t="shared" si="48"/>
        <v>25</v>
      </c>
      <c r="F426" s="12" t="str">
        <f t="shared" si="50"/>
        <v>20=&lt;30</v>
      </c>
      <c r="G426" s="12" t="s">
        <v>60</v>
      </c>
      <c r="H426" s="13">
        <v>1691.8</v>
      </c>
      <c r="I426" s="12" t="str">
        <f t="shared" si="51"/>
        <v>1000=&lt;2000 AZN</v>
      </c>
      <c r="J426" s="13">
        <v>446.32</v>
      </c>
      <c r="K426" s="12" t="str">
        <f t="shared" si="52"/>
        <v>&lt;1000 AZN</v>
      </c>
      <c r="L426" s="13">
        <f t="shared" si="53"/>
        <v>1245.48</v>
      </c>
      <c r="M426" s="52" t="str">
        <f t="shared" si="54"/>
        <v>musbet</v>
      </c>
      <c r="N426" s="19" t="str">
        <f t="shared" si="55"/>
        <v>Sərxan Cabbarov 36725</v>
      </c>
    </row>
    <row r="427" spans="1:14" ht="14.25" customHeight="1" x14ac:dyDescent="0.25">
      <c r="A427" s="12" t="s">
        <v>468</v>
      </c>
      <c r="B427" s="12" t="s">
        <v>56</v>
      </c>
      <c r="C427" s="14">
        <v>27414</v>
      </c>
      <c r="D427" s="17">
        <f t="shared" si="49"/>
        <v>1975</v>
      </c>
      <c r="E427" s="16">
        <f t="shared" si="48"/>
        <v>50</v>
      </c>
      <c r="F427" s="12" t="str">
        <f t="shared" si="50"/>
        <v>40=&lt;60</v>
      </c>
      <c r="G427" s="12" t="s">
        <v>51</v>
      </c>
      <c r="H427" s="13">
        <v>3093.67</v>
      </c>
      <c r="I427" s="12" t="str">
        <f t="shared" si="51"/>
        <v>3000=&lt;4000 AZN</v>
      </c>
      <c r="J427" s="13">
        <v>519.91</v>
      </c>
      <c r="K427" s="12" t="str">
        <f t="shared" si="52"/>
        <v>&lt;1000 AZN</v>
      </c>
      <c r="L427" s="13">
        <f t="shared" si="53"/>
        <v>2573.7600000000002</v>
      </c>
      <c r="M427" s="52" t="str">
        <f t="shared" si="54"/>
        <v>musbet</v>
      </c>
      <c r="N427" s="19" t="str">
        <f t="shared" si="55"/>
        <v>Fuad  Talıbzadə 27414</v>
      </c>
    </row>
    <row r="428" spans="1:14" ht="14.25" customHeight="1" x14ac:dyDescent="0.25">
      <c r="A428" s="12" t="s">
        <v>469</v>
      </c>
      <c r="B428" s="12" t="s">
        <v>28</v>
      </c>
      <c r="C428" s="14">
        <v>34107</v>
      </c>
      <c r="D428" s="17">
        <f t="shared" si="49"/>
        <v>1993</v>
      </c>
      <c r="E428" s="16">
        <f t="shared" si="48"/>
        <v>32</v>
      </c>
      <c r="F428" s="12" t="str">
        <f t="shared" si="50"/>
        <v>30=&lt;40</v>
      </c>
      <c r="G428" s="12" t="s">
        <v>45</v>
      </c>
      <c r="H428" s="13">
        <v>3095.04</v>
      </c>
      <c r="I428" s="12" t="str">
        <f t="shared" si="51"/>
        <v>3000=&lt;4000 AZN</v>
      </c>
      <c r="J428" s="13">
        <v>1971.65</v>
      </c>
      <c r="K428" s="12" t="str">
        <f t="shared" si="52"/>
        <v>1000=&lt;2000 AZN</v>
      </c>
      <c r="L428" s="13">
        <f t="shared" si="53"/>
        <v>1123.3899999999999</v>
      </c>
      <c r="M428" s="52" t="str">
        <f t="shared" si="54"/>
        <v>musbet</v>
      </c>
      <c r="N428" s="19" t="str">
        <f t="shared" si="55"/>
        <v>Ruhəngiz Mirzəyev 34107</v>
      </c>
    </row>
    <row r="429" spans="1:14" ht="14.25" customHeight="1" x14ac:dyDescent="0.25">
      <c r="A429" s="12" t="s">
        <v>470</v>
      </c>
      <c r="B429" s="12" t="s">
        <v>26</v>
      </c>
      <c r="C429" s="14">
        <v>30650</v>
      </c>
      <c r="D429" s="17">
        <f t="shared" si="49"/>
        <v>1983</v>
      </c>
      <c r="E429" s="16">
        <f t="shared" si="48"/>
        <v>42</v>
      </c>
      <c r="F429" s="12" t="str">
        <f t="shared" si="50"/>
        <v>40=&lt;60</v>
      </c>
      <c r="G429" s="12" t="s">
        <v>63</v>
      </c>
      <c r="H429" s="13">
        <v>2835.26</v>
      </c>
      <c r="I429" s="12" t="str">
        <f t="shared" si="51"/>
        <v>2000=&lt;3000 AZN</v>
      </c>
      <c r="J429" s="13">
        <v>1027.22</v>
      </c>
      <c r="K429" s="12" t="str">
        <f t="shared" si="52"/>
        <v>1000=&lt;2000 AZN</v>
      </c>
      <c r="L429" s="13">
        <f t="shared" si="53"/>
        <v>1808.0400000000002</v>
      </c>
      <c r="M429" s="52" t="str">
        <f t="shared" si="54"/>
        <v>musbet</v>
      </c>
      <c r="N429" s="19" t="str">
        <f t="shared" si="55"/>
        <v>Sabir Həsənli 30650</v>
      </c>
    </row>
    <row r="430" spans="1:14" ht="14.25" customHeight="1" x14ac:dyDescent="0.25">
      <c r="A430" s="12" t="s">
        <v>471</v>
      </c>
      <c r="B430" s="12" t="s">
        <v>27</v>
      </c>
      <c r="C430" s="14">
        <v>29596</v>
      </c>
      <c r="D430" s="17">
        <f t="shared" si="49"/>
        <v>1981</v>
      </c>
      <c r="E430" s="16">
        <f t="shared" si="48"/>
        <v>44</v>
      </c>
      <c r="F430" s="12" t="str">
        <f t="shared" si="50"/>
        <v>40=&lt;60</v>
      </c>
      <c r="G430" s="12" t="s">
        <v>49</v>
      </c>
      <c r="H430" s="13">
        <v>652.84</v>
      </c>
      <c r="I430" s="12" t="str">
        <f t="shared" si="51"/>
        <v>&lt;1000 AZN</v>
      </c>
      <c r="J430" s="13">
        <v>1934.78</v>
      </c>
      <c r="K430" s="12" t="str">
        <f t="shared" si="52"/>
        <v>1000=&lt;2000 AZN</v>
      </c>
      <c r="L430" s="13">
        <f t="shared" si="53"/>
        <v>-1281.94</v>
      </c>
      <c r="M430" s="52" t="str">
        <f t="shared" si="54"/>
        <v>menfi</v>
      </c>
      <c r="N430" s="19" t="str">
        <f t="shared" si="55"/>
        <v>Xudayar Vurğun 29596</v>
      </c>
    </row>
    <row r="431" spans="1:14" ht="14.25" customHeight="1" x14ac:dyDescent="0.25">
      <c r="A431" s="12" t="s">
        <v>472</v>
      </c>
      <c r="B431" s="12" t="s">
        <v>29</v>
      </c>
      <c r="C431" s="14">
        <v>36062</v>
      </c>
      <c r="D431" s="17">
        <f t="shared" si="49"/>
        <v>1998</v>
      </c>
      <c r="E431" s="16">
        <f t="shared" si="48"/>
        <v>27</v>
      </c>
      <c r="F431" s="12" t="str">
        <f t="shared" si="50"/>
        <v>20=&lt;30</v>
      </c>
      <c r="G431" s="12" t="s">
        <v>40</v>
      </c>
      <c r="H431" s="13">
        <v>3602.62</v>
      </c>
      <c r="I431" s="12" t="str">
        <f t="shared" si="51"/>
        <v>3000=&lt;4000 AZN</v>
      </c>
      <c r="J431" s="13">
        <v>3157.9</v>
      </c>
      <c r="K431" s="12" t="str">
        <f t="shared" si="52"/>
        <v>3000=&lt;4000 AZN</v>
      </c>
      <c r="L431" s="13">
        <f t="shared" si="53"/>
        <v>444.7199999999998</v>
      </c>
      <c r="M431" s="52" t="str">
        <f t="shared" si="54"/>
        <v>musbet</v>
      </c>
      <c r="N431" s="19" t="str">
        <f t="shared" si="55"/>
        <v>Mirzə Bayramov 36062</v>
      </c>
    </row>
    <row r="432" spans="1:14" ht="14.25" customHeight="1" x14ac:dyDescent="0.25">
      <c r="A432" s="12" t="s">
        <v>473</v>
      </c>
      <c r="B432" s="12" t="s">
        <v>28</v>
      </c>
      <c r="C432" s="14">
        <v>32471</v>
      </c>
      <c r="D432" s="17">
        <f t="shared" si="49"/>
        <v>1988</v>
      </c>
      <c r="E432" s="16">
        <f t="shared" si="48"/>
        <v>37</v>
      </c>
      <c r="F432" s="12" t="str">
        <f t="shared" si="50"/>
        <v>30=&lt;40</v>
      </c>
      <c r="G432" s="12" t="s">
        <v>49</v>
      </c>
      <c r="H432" s="13">
        <v>3352.23</v>
      </c>
      <c r="I432" s="12" t="str">
        <f t="shared" si="51"/>
        <v>3000=&lt;4000 AZN</v>
      </c>
      <c r="J432" s="13">
        <v>991.69</v>
      </c>
      <c r="K432" s="12" t="str">
        <f t="shared" si="52"/>
        <v>&lt;1000 AZN</v>
      </c>
      <c r="L432" s="13">
        <f t="shared" si="53"/>
        <v>2360.54</v>
      </c>
      <c r="M432" s="52" t="str">
        <f t="shared" si="54"/>
        <v>musbet</v>
      </c>
      <c r="N432" s="19" t="str">
        <f t="shared" si="55"/>
        <v>Müslüm Mirzəyev 32471</v>
      </c>
    </row>
    <row r="433" spans="1:14" ht="14.25" customHeight="1" x14ac:dyDescent="0.25">
      <c r="A433" s="12" t="s">
        <v>474</v>
      </c>
      <c r="B433" s="12" t="s">
        <v>27</v>
      </c>
      <c r="C433" s="14">
        <v>24018</v>
      </c>
      <c r="D433" s="17">
        <f t="shared" si="49"/>
        <v>1965</v>
      </c>
      <c r="E433" s="16">
        <f t="shared" si="48"/>
        <v>60</v>
      </c>
      <c r="F433" s="12" t="str">
        <f t="shared" si="50"/>
        <v>60=&lt;</v>
      </c>
      <c r="G433" s="12" t="s">
        <v>49</v>
      </c>
      <c r="H433" s="13">
        <v>3029.13</v>
      </c>
      <c r="I433" s="12" t="str">
        <f t="shared" si="51"/>
        <v>3000=&lt;4000 AZN</v>
      </c>
      <c r="J433" s="13">
        <v>1947.03</v>
      </c>
      <c r="K433" s="12" t="str">
        <f t="shared" si="52"/>
        <v>1000=&lt;2000 AZN</v>
      </c>
      <c r="L433" s="13">
        <f t="shared" si="53"/>
        <v>1082.1000000000001</v>
      </c>
      <c r="M433" s="52" t="str">
        <f t="shared" si="54"/>
        <v>musbet</v>
      </c>
      <c r="N433" s="19" t="str">
        <f t="shared" si="55"/>
        <v>Natəvan Vurğun 24018</v>
      </c>
    </row>
    <row r="434" spans="1:14" ht="14.25" customHeight="1" x14ac:dyDescent="0.25">
      <c r="A434" s="12" t="s">
        <v>475</v>
      </c>
      <c r="B434" s="12" t="s">
        <v>27</v>
      </c>
      <c r="C434" s="14">
        <v>25093</v>
      </c>
      <c r="D434" s="17">
        <f t="shared" si="49"/>
        <v>1968</v>
      </c>
      <c r="E434" s="16">
        <f t="shared" si="48"/>
        <v>57</v>
      </c>
      <c r="F434" s="12" t="str">
        <f t="shared" si="50"/>
        <v>40=&lt;60</v>
      </c>
      <c r="G434" s="12" t="s">
        <v>58</v>
      </c>
      <c r="H434" s="13">
        <v>4663.8</v>
      </c>
      <c r="I434" s="12" t="str">
        <f t="shared" si="51"/>
        <v>4000=&lt;5000 AZN</v>
      </c>
      <c r="J434" s="13">
        <v>3580.36</v>
      </c>
      <c r="K434" s="12" t="str">
        <f t="shared" si="52"/>
        <v>3000=&lt;4000 AZN</v>
      </c>
      <c r="L434" s="13">
        <f t="shared" si="53"/>
        <v>1083.44</v>
      </c>
      <c r="M434" s="52" t="str">
        <f t="shared" si="54"/>
        <v>musbet</v>
      </c>
      <c r="N434" s="19" t="str">
        <f t="shared" si="55"/>
        <v>Teymur Vurğun 25093</v>
      </c>
    </row>
    <row r="435" spans="1:14" ht="14.25" customHeight="1" x14ac:dyDescent="0.25">
      <c r="A435" s="12" t="s">
        <v>476</v>
      </c>
      <c r="B435" s="12" t="s">
        <v>48</v>
      </c>
      <c r="C435" s="14">
        <v>34744</v>
      </c>
      <c r="D435" s="17">
        <f t="shared" si="49"/>
        <v>1995</v>
      </c>
      <c r="E435" s="16">
        <f t="shared" si="48"/>
        <v>30</v>
      </c>
      <c r="F435" s="12" t="str">
        <f t="shared" si="50"/>
        <v>30=&lt;40</v>
      </c>
      <c r="G435" s="12" t="s">
        <v>45</v>
      </c>
      <c r="H435" s="13">
        <v>1740.47</v>
      </c>
      <c r="I435" s="12" t="str">
        <f t="shared" si="51"/>
        <v>1000=&lt;2000 AZN</v>
      </c>
      <c r="J435" s="13">
        <v>468.93</v>
      </c>
      <c r="K435" s="12" t="str">
        <f t="shared" si="52"/>
        <v>&lt;1000 AZN</v>
      </c>
      <c r="L435" s="13">
        <f t="shared" si="53"/>
        <v>1271.54</v>
      </c>
      <c r="M435" s="52" t="str">
        <f t="shared" si="54"/>
        <v>musbet</v>
      </c>
      <c r="N435" s="19" t="str">
        <f t="shared" si="55"/>
        <v>Mümtaz Abbasbəyli 34744</v>
      </c>
    </row>
    <row r="436" spans="1:14" ht="14.25" customHeight="1" x14ac:dyDescent="0.25">
      <c r="A436" s="12" t="s">
        <v>477</v>
      </c>
      <c r="B436" s="12" t="s">
        <v>65</v>
      </c>
      <c r="C436" s="14">
        <v>36750</v>
      </c>
      <c r="D436" s="17">
        <f t="shared" si="49"/>
        <v>2000</v>
      </c>
      <c r="E436" s="16">
        <f t="shared" si="48"/>
        <v>25</v>
      </c>
      <c r="F436" s="12" t="str">
        <f t="shared" si="50"/>
        <v>20=&lt;30</v>
      </c>
      <c r="G436" s="12" t="s">
        <v>45</v>
      </c>
      <c r="H436" s="13">
        <v>4228.99</v>
      </c>
      <c r="I436" s="12" t="str">
        <f t="shared" si="51"/>
        <v>4000=&lt;5000 AZN</v>
      </c>
      <c r="J436" s="13">
        <v>1205.26</v>
      </c>
      <c r="K436" s="12" t="str">
        <f t="shared" si="52"/>
        <v>1000=&lt;2000 AZN</v>
      </c>
      <c r="L436" s="13">
        <f t="shared" si="53"/>
        <v>3023.7299999999996</v>
      </c>
      <c r="M436" s="52" t="str">
        <f t="shared" si="54"/>
        <v>musbet</v>
      </c>
      <c r="N436" s="19" t="str">
        <f t="shared" si="55"/>
        <v>Aygün Cabbarov 36750</v>
      </c>
    </row>
    <row r="437" spans="1:14" ht="14.25" customHeight="1" x14ac:dyDescent="0.25">
      <c r="A437" s="12" t="s">
        <v>478</v>
      </c>
      <c r="B437" s="12" t="s">
        <v>30</v>
      </c>
      <c r="C437" s="14">
        <v>24554</v>
      </c>
      <c r="D437" s="17">
        <f t="shared" si="49"/>
        <v>1967</v>
      </c>
      <c r="E437" s="16">
        <f t="shared" si="48"/>
        <v>58</v>
      </c>
      <c r="F437" s="12" t="str">
        <f t="shared" si="50"/>
        <v>40=&lt;60</v>
      </c>
      <c r="G437" s="12" t="s">
        <v>66</v>
      </c>
      <c r="H437" s="13">
        <v>3440.72</v>
      </c>
      <c r="I437" s="12" t="str">
        <f t="shared" si="51"/>
        <v>3000=&lt;4000 AZN</v>
      </c>
      <c r="J437" s="13">
        <v>4703.1400000000003</v>
      </c>
      <c r="K437" s="12" t="str">
        <f t="shared" si="52"/>
        <v>4000=&lt;5000 AZN</v>
      </c>
      <c r="L437" s="13">
        <f t="shared" si="53"/>
        <v>-1262.4200000000005</v>
      </c>
      <c r="M437" s="52" t="str">
        <f t="shared" si="54"/>
        <v>menfi</v>
      </c>
      <c r="N437" s="19" t="str">
        <f t="shared" si="55"/>
        <v>Aytəkin Bəktaşi 24554</v>
      </c>
    </row>
    <row r="438" spans="1:14" ht="14.25" customHeight="1" x14ac:dyDescent="0.25">
      <c r="A438" s="12" t="s">
        <v>479</v>
      </c>
      <c r="B438" s="12" t="s">
        <v>30</v>
      </c>
      <c r="C438" s="14">
        <v>31859</v>
      </c>
      <c r="D438" s="17">
        <f t="shared" si="49"/>
        <v>1987</v>
      </c>
      <c r="E438" s="16">
        <f t="shared" si="48"/>
        <v>38</v>
      </c>
      <c r="F438" s="12" t="str">
        <f t="shared" si="50"/>
        <v>30=&lt;40</v>
      </c>
      <c r="G438" s="12" t="s">
        <v>53</v>
      </c>
      <c r="H438" s="13">
        <v>3965.76</v>
      </c>
      <c r="I438" s="12" t="str">
        <f t="shared" si="51"/>
        <v>3000=&lt;4000 AZN</v>
      </c>
      <c r="J438" s="13">
        <v>3785.53</v>
      </c>
      <c r="K438" s="12" t="str">
        <f t="shared" si="52"/>
        <v>3000=&lt;4000 AZN</v>
      </c>
      <c r="L438" s="13">
        <f t="shared" si="53"/>
        <v>180.23000000000002</v>
      </c>
      <c r="M438" s="52" t="str">
        <f t="shared" si="54"/>
        <v>musbet</v>
      </c>
      <c r="N438" s="19" t="str">
        <f t="shared" si="55"/>
        <v>Reyhan Bəktaşi 31859</v>
      </c>
    </row>
    <row r="439" spans="1:14" ht="14.25" customHeight="1" x14ac:dyDescent="0.25">
      <c r="A439" s="12" t="s">
        <v>480</v>
      </c>
      <c r="B439" s="12" t="s">
        <v>28</v>
      </c>
      <c r="C439" s="14">
        <v>22994</v>
      </c>
      <c r="D439" s="17">
        <f t="shared" si="49"/>
        <v>1962</v>
      </c>
      <c r="E439" s="16">
        <f t="shared" si="48"/>
        <v>63</v>
      </c>
      <c r="F439" s="12" t="str">
        <f t="shared" si="50"/>
        <v>60=&lt;</v>
      </c>
      <c r="G439" s="12" t="s">
        <v>53</v>
      </c>
      <c r="H439" s="13">
        <v>3689.53</v>
      </c>
      <c r="I439" s="12" t="str">
        <f t="shared" si="51"/>
        <v>3000=&lt;4000 AZN</v>
      </c>
      <c r="J439" s="13">
        <v>4934.32</v>
      </c>
      <c r="K439" s="12" t="str">
        <f t="shared" si="52"/>
        <v>4000=&lt;5000 AZN</v>
      </c>
      <c r="L439" s="13">
        <f t="shared" si="53"/>
        <v>-1244.7899999999995</v>
      </c>
      <c r="M439" s="52" t="str">
        <f t="shared" si="54"/>
        <v>menfi</v>
      </c>
      <c r="N439" s="19" t="str">
        <f t="shared" si="55"/>
        <v>Talıb Mirzəyev 22994</v>
      </c>
    </row>
    <row r="440" spans="1:14" ht="14.25" customHeight="1" x14ac:dyDescent="0.25">
      <c r="A440" s="12" t="s">
        <v>481</v>
      </c>
      <c r="B440" s="12" t="s">
        <v>28</v>
      </c>
      <c r="C440" s="14">
        <v>24201</v>
      </c>
      <c r="D440" s="17">
        <f t="shared" si="49"/>
        <v>1966</v>
      </c>
      <c r="E440" s="16">
        <f t="shared" si="48"/>
        <v>59</v>
      </c>
      <c r="F440" s="12" t="str">
        <f t="shared" si="50"/>
        <v>40=&lt;60</v>
      </c>
      <c r="G440" s="12" t="s">
        <v>49</v>
      </c>
      <c r="H440" s="13">
        <v>3482.98</v>
      </c>
      <c r="I440" s="12" t="str">
        <f t="shared" si="51"/>
        <v>3000=&lt;4000 AZN</v>
      </c>
      <c r="J440" s="13">
        <v>1128.3800000000001</v>
      </c>
      <c r="K440" s="12" t="str">
        <f t="shared" si="52"/>
        <v>1000=&lt;2000 AZN</v>
      </c>
      <c r="L440" s="13">
        <f t="shared" si="53"/>
        <v>2354.6</v>
      </c>
      <c r="M440" s="52" t="str">
        <f t="shared" si="54"/>
        <v>musbet</v>
      </c>
      <c r="N440" s="19" t="str">
        <f t="shared" si="55"/>
        <v>Bəhram Mirzəyev 24201</v>
      </c>
    </row>
    <row r="441" spans="1:14" ht="14.25" customHeight="1" x14ac:dyDescent="0.25">
      <c r="A441" s="12" t="s">
        <v>482</v>
      </c>
      <c r="B441" s="12" t="s">
        <v>44</v>
      </c>
      <c r="C441" s="14">
        <v>31805</v>
      </c>
      <c r="D441" s="17">
        <f t="shared" si="49"/>
        <v>1987</v>
      </c>
      <c r="E441" s="16">
        <f t="shared" si="48"/>
        <v>38</v>
      </c>
      <c r="F441" s="12" t="str">
        <f t="shared" si="50"/>
        <v>30=&lt;40</v>
      </c>
      <c r="G441" s="12" t="s">
        <v>60</v>
      </c>
      <c r="H441" s="13">
        <v>3991.03</v>
      </c>
      <c r="I441" s="12" t="str">
        <f t="shared" si="51"/>
        <v>3000=&lt;4000 AZN</v>
      </c>
      <c r="J441" s="13">
        <v>4909.67</v>
      </c>
      <c r="K441" s="12" t="str">
        <f t="shared" si="52"/>
        <v>4000=&lt;5000 AZN</v>
      </c>
      <c r="L441" s="13">
        <f t="shared" si="53"/>
        <v>-918.63999999999987</v>
      </c>
      <c r="M441" s="52" t="str">
        <f t="shared" si="54"/>
        <v>menfi</v>
      </c>
      <c r="N441" s="19" t="str">
        <f t="shared" si="55"/>
        <v>Pərvin Təhmin 31805</v>
      </c>
    </row>
    <row r="442" spans="1:14" ht="14.25" customHeight="1" x14ac:dyDescent="0.25">
      <c r="A442" s="12" t="s">
        <v>483</v>
      </c>
      <c r="B442" s="12" t="s">
        <v>56</v>
      </c>
      <c r="C442" s="14">
        <v>25684</v>
      </c>
      <c r="D442" s="17">
        <f t="shared" si="49"/>
        <v>1970</v>
      </c>
      <c r="E442" s="16">
        <f t="shared" si="48"/>
        <v>55</v>
      </c>
      <c r="F442" s="12" t="str">
        <f t="shared" si="50"/>
        <v>40=&lt;60</v>
      </c>
      <c r="G442" s="12" t="s">
        <v>49</v>
      </c>
      <c r="H442" s="13">
        <v>1876.71</v>
      </c>
      <c r="I442" s="12" t="str">
        <f t="shared" si="51"/>
        <v>1000=&lt;2000 AZN</v>
      </c>
      <c r="J442" s="13">
        <v>1606.53</v>
      </c>
      <c r="K442" s="12" t="str">
        <f t="shared" si="52"/>
        <v>1000=&lt;2000 AZN</v>
      </c>
      <c r="L442" s="13">
        <f t="shared" si="53"/>
        <v>270.18000000000006</v>
      </c>
      <c r="M442" s="52" t="str">
        <f t="shared" si="54"/>
        <v>musbet</v>
      </c>
      <c r="N442" s="19" t="str">
        <f t="shared" si="55"/>
        <v>Akif Talıbzadə 25684</v>
      </c>
    </row>
    <row r="443" spans="1:14" ht="14.25" customHeight="1" x14ac:dyDescent="0.25">
      <c r="A443" s="12" t="s">
        <v>484</v>
      </c>
      <c r="B443" s="12" t="s">
        <v>27</v>
      </c>
      <c r="C443" s="14">
        <v>23295</v>
      </c>
      <c r="D443" s="17">
        <f t="shared" si="49"/>
        <v>1963</v>
      </c>
      <c r="E443" s="16">
        <f t="shared" si="48"/>
        <v>62</v>
      </c>
      <c r="F443" s="12" t="str">
        <f t="shared" si="50"/>
        <v>60=&lt;</v>
      </c>
      <c r="G443" s="12" t="s">
        <v>40</v>
      </c>
      <c r="H443" s="13">
        <v>4392.3599999999997</v>
      </c>
      <c r="I443" s="12" t="str">
        <f t="shared" si="51"/>
        <v>4000=&lt;5000 AZN</v>
      </c>
      <c r="J443" s="13">
        <v>4602.76</v>
      </c>
      <c r="K443" s="12" t="str">
        <f t="shared" si="52"/>
        <v>4000=&lt;5000 AZN</v>
      </c>
      <c r="L443" s="13">
        <f t="shared" si="53"/>
        <v>-210.40000000000055</v>
      </c>
      <c r="M443" s="52" t="str">
        <f t="shared" si="54"/>
        <v>menfi</v>
      </c>
      <c r="N443" s="19" t="str">
        <f t="shared" si="55"/>
        <v>Azər Vurğun 23295</v>
      </c>
    </row>
    <row r="444" spans="1:14" ht="14.25" customHeight="1" x14ac:dyDescent="0.25">
      <c r="A444" s="12" t="s">
        <v>485</v>
      </c>
      <c r="B444" s="12" t="s">
        <v>56</v>
      </c>
      <c r="C444" s="14">
        <v>31867</v>
      </c>
      <c r="D444" s="17">
        <f t="shared" si="49"/>
        <v>1987</v>
      </c>
      <c r="E444" s="16">
        <f t="shared" si="48"/>
        <v>38</v>
      </c>
      <c r="F444" s="12" t="str">
        <f t="shared" si="50"/>
        <v>30=&lt;40</v>
      </c>
      <c r="G444" s="12" t="s">
        <v>51</v>
      </c>
      <c r="H444" s="13">
        <v>4969.82</v>
      </c>
      <c r="I444" s="12" t="str">
        <f t="shared" si="51"/>
        <v>4000=&lt;5000 AZN</v>
      </c>
      <c r="J444" s="13">
        <v>3433.23</v>
      </c>
      <c r="K444" s="12" t="str">
        <f t="shared" si="52"/>
        <v>3000=&lt;4000 AZN</v>
      </c>
      <c r="L444" s="13">
        <f t="shared" si="53"/>
        <v>1536.5899999999997</v>
      </c>
      <c r="M444" s="52" t="str">
        <f t="shared" si="54"/>
        <v>musbet</v>
      </c>
      <c r="N444" s="19" t="str">
        <f t="shared" si="55"/>
        <v>Ceyhunə Talıbzadə 31867</v>
      </c>
    </row>
    <row r="445" spans="1:14" ht="14.25" customHeight="1" x14ac:dyDescent="0.25">
      <c r="A445" s="12" t="s">
        <v>486</v>
      </c>
      <c r="B445" s="12" t="s">
        <v>26</v>
      </c>
      <c r="C445" s="14">
        <v>36599</v>
      </c>
      <c r="D445" s="17">
        <f t="shared" si="49"/>
        <v>2000</v>
      </c>
      <c r="E445" s="16">
        <f t="shared" si="48"/>
        <v>25</v>
      </c>
      <c r="F445" s="12" t="str">
        <f t="shared" si="50"/>
        <v>20=&lt;30</v>
      </c>
      <c r="G445" s="12" t="s">
        <v>66</v>
      </c>
      <c r="H445" s="13">
        <v>1685.14</v>
      </c>
      <c r="I445" s="12" t="str">
        <f t="shared" si="51"/>
        <v>1000=&lt;2000 AZN</v>
      </c>
      <c r="J445" s="13">
        <v>4548.74</v>
      </c>
      <c r="K445" s="12" t="str">
        <f t="shared" si="52"/>
        <v>4000=&lt;5000 AZN</v>
      </c>
      <c r="L445" s="13">
        <f t="shared" si="53"/>
        <v>-2863.5999999999995</v>
      </c>
      <c r="M445" s="52" t="str">
        <f t="shared" si="54"/>
        <v>menfi</v>
      </c>
      <c r="N445" s="19" t="str">
        <f t="shared" si="55"/>
        <v>Etibar Həsənli 36599</v>
      </c>
    </row>
    <row r="446" spans="1:14" ht="14.25" customHeight="1" x14ac:dyDescent="0.25">
      <c r="A446" s="12" t="s">
        <v>487</v>
      </c>
      <c r="B446" s="12" t="s">
        <v>44</v>
      </c>
      <c r="C446" s="14">
        <v>35083</v>
      </c>
      <c r="D446" s="17">
        <f t="shared" si="49"/>
        <v>1996</v>
      </c>
      <c r="E446" s="16">
        <f t="shared" si="48"/>
        <v>29</v>
      </c>
      <c r="F446" s="12" t="str">
        <f t="shared" si="50"/>
        <v>20=&lt;30</v>
      </c>
      <c r="G446" s="12" t="s">
        <v>49</v>
      </c>
      <c r="H446" s="13">
        <v>2882.73</v>
      </c>
      <c r="I446" s="12" t="str">
        <f t="shared" si="51"/>
        <v>2000=&lt;3000 AZN</v>
      </c>
      <c r="J446" s="13">
        <v>1534.32</v>
      </c>
      <c r="K446" s="12" t="str">
        <f t="shared" si="52"/>
        <v>1000=&lt;2000 AZN</v>
      </c>
      <c r="L446" s="13">
        <f t="shared" si="53"/>
        <v>1348.41</v>
      </c>
      <c r="M446" s="52" t="str">
        <f t="shared" si="54"/>
        <v>musbet</v>
      </c>
      <c r="N446" s="19" t="str">
        <f t="shared" si="55"/>
        <v>Zaman Təhmin 35083</v>
      </c>
    </row>
    <row r="447" spans="1:14" ht="14.25" customHeight="1" x14ac:dyDescent="0.25">
      <c r="A447" s="12" t="s">
        <v>488</v>
      </c>
      <c r="B447" s="12" t="s">
        <v>56</v>
      </c>
      <c r="C447" s="14">
        <v>30766</v>
      </c>
      <c r="D447" s="17">
        <f t="shared" si="49"/>
        <v>1984</v>
      </c>
      <c r="E447" s="16">
        <f t="shared" si="48"/>
        <v>41</v>
      </c>
      <c r="F447" s="12" t="str">
        <f t="shared" si="50"/>
        <v>40=&lt;60</v>
      </c>
      <c r="G447" s="12" t="s">
        <v>45</v>
      </c>
      <c r="H447" s="13">
        <v>1032.19</v>
      </c>
      <c r="I447" s="12" t="str">
        <f t="shared" si="51"/>
        <v>1000=&lt;2000 AZN</v>
      </c>
      <c r="J447" s="13">
        <v>3662.07</v>
      </c>
      <c r="K447" s="12" t="str">
        <f t="shared" si="52"/>
        <v>3000=&lt;4000 AZN</v>
      </c>
      <c r="L447" s="13">
        <f t="shared" si="53"/>
        <v>-2629.88</v>
      </c>
      <c r="M447" s="52" t="str">
        <f t="shared" si="54"/>
        <v>menfi</v>
      </c>
      <c r="N447" s="19" t="str">
        <f t="shared" si="55"/>
        <v>Ayçiçək Talıbzadə 30766</v>
      </c>
    </row>
    <row r="448" spans="1:14" ht="14.25" customHeight="1" x14ac:dyDescent="0.25">
      <c r="A448" s="12" t="s">
        <v>489</v>
      </c>
      <c r="B448" s="12" t="s">
        <v>28</v>
      </c>
      <c r="C448" s="14">
        <v>29953</v>
      </c>
      <c r="D448" s="17">
        <f t="shared" si="49"/>
        <v>1982</v>
      </c>
      <c r="E448" s="16">
        <f t="shared" si="48"/>
        <v>43</v>
      </c>
      <c r="F448" s="12" t="str">
        <f t="shared" si="50"/>
        <v>40=&lt;60</v>
      </c>
      <c r="G448" s="12" t="s">
        <v>66</v>
      </c>
      <c r="H448" s="13">
        <v>2749.61</v>
      </c>
      <c r="I448" s="12" t="str">
        <f t="shared" si="51"/>
        <v>2000=&lt;3000 AZN</v>
      </c>
      <c r="J448" s="13">
        <v>2237.16</v>
      </c>
      <c r="K448" s="12" t="str">
        <f t="shared" si="52"/>
        <v>2000=&lt;3000 AZN</v>
      </c>
      <c r="L448" s="13">
        <f t="shared" si="53"/>
        <v>512.45000000000027</v>
      </c>
      <c r="M448" s="52" t="str">
        <f t="shared" si="54"/>
        <v>musbet</v>
      </c>
      <c r="N448" s="19" t="str">
        <f t="shared" si="55"/>
        <v>Fərda Mirzəyev 29953</v>
      </c>
    </row>
    <row r="449" spans="1:14" ht="14.25" customHeight="1" x14ac:dyDescent="0.25">
      <c r="A449" s="12" t="s">
        <v>490</v>
      </c>
      <c r="B449" s="12" t="s">
        <v>28</v>
      </c>
      <c r="C449" s="14">
        <v>33955</v>
      </c>
      <c r="D449" s="17">
        <f t="shared" si="49"/>
        <v>1992</v>
      </c>
      <c r="E449" s="16">
        <f t="shared" si="48"/>
        <v>33</v>
      </c>
      <c r="F449" s="12" t="str">
        <f t="shared" si="50"/>
        <v>30=&lt;40</v>
      </c>
      <c r="G449" s="12" t="s">
        <v>45</v>
      </c>
      <c r="H449" s="13">
        <v>4623.26</v>
      </c>
      <c r="I449" s="12" t="str">
        <f t="shared" si="51"/>
        <v>4000=&lt;5000 AZN</v>
      </c>
      <c r="J449" s="13">
        <v>944.47</v>
      </c>
      <c r="K449" s="12" t="str">
        <f t="shared" si="52"/>
        <v>&lt;1000 AZN</v>
      </c>
      <c r="L449" s="13">
        <f t="shared" si="53"/>
        <v>3678.79</v>
      </c>
      <c r="M449" s="52" t="str">
        <f t="shared" si="54"/>
        <v>musbet</v>
      </c>
      <c r="N449" s="19" t="str">
        <f t="shared" si="55"/>
        <v>Gültəkin Mirzəyev 33955</v>
      </c>
    </row>
    <row r="450" spans="1:14" ht="14.25" customHeight="1" x14ac:dyDescent="0.25">
      <c r="A450" s="12" t="s">
        <v>491</v>
      </c>
      <c r="B450" s="12" t="s">
        <v>39</v>
      </c>
      <c r="C450" s="14">
        <v>32378</v>
      </c>
      <c r="D450" s="17">
        <f t="shared" si="49"/>
        <v>1988</v>
      </c>
      <c r="E450" s="16">
        <f t="shared" ref="E450:E513" si="56">2025-D450</f>
        <v>37</v>
      </c>
      <c r="F450" s="12" t="str">
        <f t="shared" si="50"/>
        <v>30=&lt;40</v>
      </c>
      <c r="G450" s="12" t="s">
        <v>51</v>
      </c>
      <c r="H450" s="13">
        <v>1810.68</v>
      </c>
      <c r="I450" s="12" t="str">
        <f t="shared" si="51"/>
        <v>1000=&lt;2000 AZN</v>
      </c>
      <c r="J450" s="13">
        <v>978.7</v>
      </c>
      <c r="K450" s="12" t="str">
        <f t="shared" si="52"/>
        <v>&lt;1000 AZN</v>
      </c>
      <c r="L450" s="13">
        <f t="shared" si="53"/>
        <v>831.98</v>
      </c>
      <c r="M450" s="52" t="str">
        <f t="shared" si="54"/>
        <v>musbet</v>
      </c>
      <c r="N450" s="19" t="str">
        <f t="shared" si="55"/>
        <v>Valid Düzgün 32378</v>
      </c>
    </row>
    <row r="451" spans="1:14" ht="14.25" customHeight="1" x14ac:dyDescent="0.25">
      <c r="A451" s="12" t="s">
        <v>492</v>
      </c>
      <c r="B451" s="12" t="s">
        <v>27</v>
      </c>
      <c r="C451" s="14">
        <v>29326</v>
      </c>
      <c r="D451" s="17">
        <f t="shared" ref="D451:D514" si="57">YEAR(C451)</f>
        <v>1980</v>
      </c>
      <c r="E451" s="16">
        <f t="shared" si="56"/>
        <v>45</v>
      </c>
      <c r="F451" s="12" t="str">
        <f t="shared" ref="F451:F514" si="58">IF(AND(E451&gt;=0,E451&lt;20),"0=&lt;20",IF(AND(E451&gt;=20,E451&lt;30),"20=&lt;30",IF(AND(E451&gt;=30,E451&lt;40),"30=&lt;40",IF(AND(E451&gt;=40,E451&lt;60),"40=&lt;60",IF(AND(E451&gt;=60),"60=&lt;")))))</f>
        <v>40=&lt;60</v>
      </c>
      <c r="G451" s="12" t="s">
        <v>45</v>
      </c>
      <c r="H451" s="13">
        <v>4215.05</v>
      </c>
      <c r="I451" s="12" t="str">
        <f t="shared" ref="I451:I514" si="59">IF(AND(H451&lt;1000),"&lt;1000 AZN",IF(AND(H451&gt;=1000,H451&lt;2000),"1000=&lt;2000 AZN",IF(AND(H451&gt;=2000,H451&lt;3000),"2000=&lt;3000 AZN",IF(AND(H451&gt;=3000,H451&lt;4000),"3000=&lt;4000 AZN",IF(AND(H451&gt;=4000,H451&lt;5000),"4000=&lt;5000 AZN",IF(AND(H451&gt;=5000,),"5000=&lt;  AZN"))))))</f>
        <v>4000=&lt;5000 AZN</v>
      </c>
      <c r="J451" s="13">
        <v>2461.52</v>
      </c>
      <c r="K451" s="12" t="str">
        <f t="shared" ref="K451:K514" si="60">IF(AND(J451&lt;1000),"&lt;1000 AZN",IF(AND(J451&gt;=1000,J451&lt;2000),"1000=&lt;2000 AZN",IF(AND(J451&gt;=2000,J451&lt;3000),"2000=&lt;3000 AZN",IF(AND(J451&gt;=3000,J451&lt;4000),"3000=&lt;4000 AZN",IF(AND(J451&gt;=4000,J451&lt;5000),"4000=&lt;5000 AZN",IF(AND(J451&gt;=5000,),"5000=&lt;  AZN"))))))</f>
        <v>2000=&lt;3000 AZN</v>
      </c>
      <c r="L451" s="13">
        <f t="shared" ref="L451:L514" si="61">H451-J451</f>
        <v>1753.5300000000002</v>
      </c>
      <c r="M451" s="52" t="str">
        <f t="shared" ref="M451:M514" si="62">IF(L451&lt;0,"menfi","musbet")</f>
        <v>musbet</v>
      </c>
      <c r="N451" s="19" t="str">
        <f t="shared" ref="N451:N514" si="63">_xlfn.CONCAT(A451," ",B451," ",C451)</f>
        <v>Gülnar Vurğun 29326</v>
      </c>
    </row>
    <row r="452" spans="1:14" ht="14.25" customHeight="1" x14ac:dyDescent="0.25">
      <c r="A452" s="12" t="s">
        <v>493</v>
      </c>
      <c r="B452" s="12" t="s">
        <v>27</v>
      </c>
      <c r="C452" s="14">
        <v>28672</v>
      </c>
      <c r="D452" s="17">
        <f t="shared" si="57"/>
        <v>1978</v>
      </c>
      <c r="E452" s="16">
        <f t="shared" si="56"/>
        <v>47</v>
      </c>
      <c r="F452" s="12" t="str">
        <f t="shared" si="58"/>
        <v>40=&lt;60</v>
      </c>
      <c r="G452" s="12" t="s">
        <v>42</v>
      </c>
      <c r="H452" s="13">
        <v>3436.56</v>
      </c>
      <c r="I452" s="12" t="str">
        <f t="shared" si="59"/>
        <v>3000=&lt;4000 AZN</v>
      </c>
      <c r="J452" s="13">
        <v>3321.34</v>
      </c>
      <c r="K452" s="12" t="str">
        <f t="shared" si="60"/>
        <v>3000=&lt;4000 AZN</v>
      </c>
      <c r="L452" s="13">
        <f t="shared" si="61"/>
        <v>115.2199999999998</v>
      </c>
      <c r="M452" s="52" t="str">
        <f t="shared" si="62"/>
        <v>musbet</v>
      </c>
      <c r="N452" s="19" t="str">
        <f t="shared" si="63"/>
        <v>Yunis Vurğun 28672</v>
      </c>
    </row>
    <row r="453" spans="1:14" ht="14.25" customHeight="1" x14ac:dyDescent="0.25">
      <c r="A453" s="12" t="s">
        <v>494</v>
      </c>
      <c r="B453" s="12" t="s">
        <v>26</v>
      </c>
      <c r="C453" s="14">
        <v>31939</v>
      </c>
      <c r="D453" s="17">
        <f t="shared" si="57"/>
        <v>1987</v>
      </c>
      <c r="E453" s="16">
        <f t="shared" si="56"/>
        <v>38</v>
      </c>
      <c r="F453" s="12" t="str">
        <f t="shared" si="58"/>
        <v>30=&lt;40</v>
      </c>
      <c r="G453" s="12" t="s">
        <v>58</v>
      </c>
      <c r="H453" s="13">
        <v>554.4</v>
      </c>
      <c r="I453" s="12" t="str">
        <f t="shared" si="59"/>
        <v>&lt;1000 AZN</v>
      </c>
      <c r="J453" s="13">
        <v>2806.04</v>
      </c>
      <c r="K453" s="12" t="str">
        <f t="shared" si="60"/>
        <v>2000=&lt;3000 AZN</v>
      </c>
      <c r="L453" s="13">
        <f t="shared" si="61"/>
        <v>-2251.64</v>
      </c>
      <c r="M453" s="52" t="str">
        <f t="shared" si="62"/>
        <v>menfi</v>
      </c>
      <c r="N453" s="19" t="str">
        <f t="shared" si="63"/>
        <v>Sirac Həsənli 31939</v>
      </c>
    </row>
    <row r="454" spans="1:14" ht="14.25" customHeight="1" x14ac:dyDescent="0.25">
      <c r="A454" s="12" t="s">
        <v>495</v>
      </c>
      <c r="B454" s="12" t="s">
        <v>26</v>
      </c>
      <c r="C454" s="14">
        <v>28965</v>
      </c>
      <c r="D454" s="17">
        <f t="shared" si="57"/>
        <v>1979</v>
      </c>
      <c r="E454" s="16">
        <f t="shared" si="56"/>
        <v>46</v>
      </c>
      <c r="F454" s="12" t="str">
        <f t="shared" si="58"/>
        <v>40=&lt;60</v>
      </c>
      <c r="G454" s="12" t="s">
        <v>49</v>
      </c>
      <c r="H454" s="13">
        <v>2772.07</v>
      </c>
      <c r="I454" s="12" t="str">
        <f t="shared" si="59"/>
        <v>2000=&lt;3000 AZN</v>
      </c>
      <c r="J454" s="13">
        <v>2139.85</v>
      </c>
      <c r="K454" s="12" t="str">
        <f t="shared" si="60"/>
        <v>2000=&lt;3000 AZN</v>
      </c>
      <c r="L454" s="13">
        <f t="shared" si="61"/>
        <v>632.22000000000025</v>
      </c>
      <c r="M454" s="52" t="str">
        <f t="shared" si="62"/>
        <v>musbet</v>
      </c>
      <c r="N454" s="19" t="str">
        <f t="shared" si="63"/>
        <v>Əliş Həsənli 28965</v>
      </c>
    </row>
    <row r="455" spans="1:14" ht="14.25" customHeight="1" x14ac:dyDescent="0.25">
      <c r="A455" s="12" t="s">
        <v>496</v>
      </c>
      <c r="B455" s="12" t="s">
        <v>26</v>
      </c>
      <c r="C455" s="14">
        <v>25003</v>
      </c>
      <c r="D455" s="17">
        <f t="shared" si="57"/>
        <v>1968</v>
      </c>
      <c r="E455" s="16">
        <f t="shared" si="56"/>
        <v>57</v>
      </c>
      <c r="F455" s="12" t="str">
        <f t="shared" si="58"/>
        <v>40=&lt;60</v>
      </c>
      <c r="G455" s="12" t="s">
        <v>66</v>
      </c>
      <c r="H455" s="13">
        <v>2283.75</v>
      </c>
      <c r="I455" s="12" t="str">
        <f t="shared" si="59"/>
        <v>2000=&lt;3000 AZN</v>
      </c>
      <c r="J455" s="13">
        <v>4012</v>
      </c>
      <c r="K455" s="12" t="str">
        <f t="shared" si="60"/>
        <v>4000=&lt;5000 AZN</v>
      </c>
      <c r="L455" s="13">
        <f t="shared" si="61"/>
        <v>-1728.25</v>
      </c>
      <c r="M455" s="52" t="str">
        <f t="shared" si="62"/>
        <v>menfi</v>
      </c>
      <c r="N455" s="19" t="str">
        <f t="shared" si="63"/>
        <v>Mülayim Həsənli 25003</v>
      </c>
    </row>
    <row r="456" spans="1:14" ht="14.25" customHeight="1" x14ac:dyDescent="0.25">
      <c r="A456" s="12" t="s">
        <v>497</v>
      </c>
      <c r="B456" s="12" t="s">
        <v>44</v>
      </c>
      <c r="C456" s="14">
        <v>29916</v>
      </c>
      <c r="D456" s="17">
        <f t="shared" si="57"/>
        <v>1981</v>
      </c>
      <c r="E456" s="16">
        <f t="shared" si="56"/>
        <v>44</v>
      </c>
      <c r="F456" s="12" t="str">
        <f t="shared" si="58"/>
        <v>40=&lt;60</v>
      </c>
      <c r="G456" s="12" t="s">
        <v>51</v>
      </c>
      <c r="H456" s="13">
        <v>1954.96</v>
      </c>
      <c r="I456" s="12" t="str">
        <f t="shared" si="59"/>
        <v>1000=&lt;2000 AZN</v>
      </c>
      <c r="J456" s="13">
        <v>3412.64</v>
      </c>
      <c r="K456" s="12" t="str">
        <f t="shared" si="60"/>
        <v>3000=&lt;4000 AZN</v>
      </c>
      <c r="L456" s="13">
        <f t="shared" si="61"/>
        <v>-1457.6799999999998</v>
      </c>
      <c r="M456" s="52" t="str">
        <f t="shared" si="62"/>
        <v>menfi</v>
      </c>
      <c r="N456" s="19" t="str">
        <f t="shared" si="63"/>
        <v>Hakim Təhmin 29916</v>
      </c>
    </row>
    <row r="457" spans="1:14" ht="14.25" customHeight="1" x14ac:dyDescent="0.25">
      <c r="A457" s="12" t="s">
        <v>498</v>
      </c>
      <c r="B457" s="12" t="s">
        <v>39</v>
      </c>
      <c r="C457" s="14">
        <v>30719</v>
      </c>
      <c r="D457" s="17">
        <f t="shared" si="57"/>
        <v>1984</v>
      </c>
      <c r="E457" s="16">
        <f t="shared" si="56"/>
        <v>41</v>
      </c>
      <c r="F457" s="12" t="str">
        <f t="shared" si="58"/>
        <v>40=&lt;60</v>
      </c>
      <c r="G457" s="12" t="s">
        <v>42</v>
      </c>
      <c r="H457" s="13">
        <v>3817.62</v>
      </c>
      <c r="I457" s="12" t="str">
        <f t="shared" si="59"/>
        <v>3000=&lt;4000 AZN</v>
      </c>
      <c r="J457" s="13">
        <v>3837.06</v>
      </c>
      <c r="K457" s="12" t="str">
        <f t="shared" si="60"/>
        <v>3000=&lt;4000 AZN</v>
      </c>
      <c r="L457" s="13">
        <f t="shared" si="61"/>
        <v>-19.440000000000055</v>
      </c>
      <c r="M457" s="52" t="str">
        <f t="shared" si="62"/>
        <v>menfi</v>
      </c>
      <c r="N457" s="19" t="str">
        <f t="shared" si="63"/>
        <v>Əkrəm Düzgün 30719</v>
      </c>
    </row>
    <row r="458" spans="1:14" ht="14.25" customHeight="1" x14ac:dyDescent="0.25">
      <c r="A458" s="12" t="s">
        <v>499</v>
      </c>
      <c r="B458" s="12" t="s">
        <v>44</v>
      </c>
      <c r="C458" s="14">
        <v>36552</v>
      </c>
      <c r="D458" s="17">
        <f t="shared" si="57"/>
        <v>2000</v>
      </c>
      <c r="E458" s="16">
        <f t="shared" si="56"/>
        <v>25</v>
      </c>
      <c r="F458" s="12" t="str">
        <f t="shared" si="58"/>
        <v>20=&lt;30</v>
      </c>
      <c r="G458" s="12" t="s">
        <v>53</v>
      </c>
      <c r="H458" s="13">
        <v>3988.09</v>
      </c>
      <c r="I458" s="12" t="str">
        <f t="shared" si="59"/>
        <v>3000=&lt;4000 AZN</v>
      </c>
      <c r="J458" s="13">
        <v>2139.3000000000002</v>
      </c>
      <c r="K458" s="12" t="str">
        <f t="shared" si="60"/>
        <v>2000=&lt;3000 AZN</v>
      </c>
      <c r="L458" s="13">
        <f t="shared" si="61"/>
        <v>1848.79</v>
      </c>
      <c r="M458" s="52" t="str">
        <f t="shared" si="62"/>
        <v>musbet</v>
      </c>
      <c r="N458" s="19" t="str">
        <f t="shared" si="63"/>
        <v>Solmaz Təhmin 36552</v>
      </c>
    </row>
    <row r="459" spans="1:14" ht="14.25" customHeight="1" x14ac:dyDescent="0.25">
      <c r="A459" s="12" t="s">
        <v>500</v>
      </c>
      <c r="B459" s="12" t="s">
        <v>30</v>
      </c>
      <c r="C459" s="14">
        <v>26691</v>
      </c>
      <c r="D459" s="17">
        <f t="shared" si="57"/>
        <v>1973</v>
      </c>
      <c r="E459" s="16">
        <f t="shared" si="56"/>
        <v>52</v>
      </c>
      <c r="F459" s="12" t="str">
        <f t="shared" si="58"/>
        <v>40=&lt;60</v>
      </c>
      <c r="G459" s="12" t="s">
        <v>53</v>
      </c>
      <c r="H459" s="13">
        <v>1619.52</v>
      </c>
      <c r="I459" s="12" t="str">
        <f t="shared" si="59"/>
        <v>1000=&lt;2000 AZN</v>
      </c>
      <c r="J459" s="13">
        <v>2789.08</v>
      </c>
      <c r="K459" s="12" t="str">
        <f t="shared" si="60"/>
        <v>2000=&lt;3000 AZN</v>
      </c>
      <c r="L459" s="13">
        <f t="shared" si="61"/>
        <v>-1169.56</v>
      </c>
      <c r="M459" s="52" t="str">
        <f t="shared" si="62"/>
        <v>menfi</v>
      </c>
      <c r="N459" s="19" t="str">
        <f t="shared" si="63"/>
        <v>Mərziyyə Bəktaşi 26691</v>
      </c>
    </row>
    <row r="460" spans="1:14" ht="14.25" customHeight="1" x14ac:dyDescent="0.25">
      <c r="A460" s="12" t="s">
        <v>501</v>
      </c>
      <c r="B460" s="12" t="s">
        <v>48</v>
      </c>
      <c r="C460" s="14">
        <v>22141</v>
      </c>
      <c r="D460" s="17">
        <f t="shared" si="57"/>
        <v>1960</v>
      </c>
      <c r="E460" s="16">
        <f t="shared" si="56"/>
        <v>65</v>
      </c>
      <c r="F460" s="12" t="str">
        <f t="shared" si="58"/>
        <v>60=&lt;</v>
      </c>
      <c r="G460" s="12" t="s">
        <v>49</v>
      </c>
      <c r="H460" s="13">
        <v>1410.55</v>
      </c>
      <c r="I460" s="12" t="str">
        <f t="shared" si="59"/>
        <v>1000=&lt;2000 AZN</v>
      </c>
      <c r="J460" s="13">
        <v>4149.54</v>
      </c>
      <c r="K460" s="12" t="str">
        <f t="shared" si="60"/>
        <v>4000=&lt;5000 AZN</v>
      </c>
      <c r="L460" s="13">
        <f t="shared" si="61"/>
        <v>-2738.99</v>
      </c>
      <c r="M460" s="52" t="str">
        <f t="shared" si="62"/>
        <v>menfi</v>
      </c>
      <c r="N460" s="19" t="str">
        <f t="shared" si="63"/>
        <v>Gülşən Abbasbəyli 22141</v>
      </c>
    </row>
    <row r="461" spans="1:14" ht="14.25" customHeight="1" x14ac:dyDescent="0.25">
      <c r="A461" s="12" t="s">
        <v>502</v>
      </c>
      <c r="B461" s="12" t="s">
        <v>30</v>
      </c>
      <c r="C461" s="14">
        <v>32564</v>
      </c>
      <c r="D461" s="17">
        <f t="shared" si="57"/>
        <v>1989</v>
      </c>
      <c r="E461" s="16">
        <f t="shared" si="56"/>
        <v>36</v>
      </c>
      <c r="F461" s="12" t="str">
        <f t="shared" si="58"/>
        <v>30=&lt;40</v>
      </c>
      <c r="G461" s="12" t="s">
        <v>53</v>
      </c>
      <c r="H461" s="13">
        <v>786.32</v>
      </c>
      <c r="I461" s="12" t="str">
        <f t="shared" si="59"/>
        <v>&lt;1000 AZN</v>
      </c>
      <c r="J461" s="13">
        <v>445.11</v>
      </c>
      <c r="K461" s="12" t="str">
        <f t="shared" si="60"/>
        <v>&lt;1000 AZN</v>
      </c>
      <c r="L461" s="13">
        <f t="shared" si="61"/>
        <v>341.21000000000004</v>
      </c>
      <c r="M461" s="52" t="str">
        <f t="shared" si="62"/>
        <v>musbet</v>
      </c>
      <c r="N461" s="19" t="str">
        <f t="shared" si="63"/>
        <v>Vilayət Bəktaşi 32564</v>
      </c>
    </row>
    <row r="462" spans="1:14" ht="14.25" customHeight="1" x14ac:dyDescent="0.25">
      <c r="A462" s="12" t="s">
        <v>503</v>
      </c>
      <c r="B462" s="12" t="s">
        <v>30</v>
      </c>
      <c r="C462" s="14">
        <v>24578</v>
      </c>
      <c r="D462" s="17">
        <f t="shared" si="57"/>
        <v>1967</v>
      </c>
      <c r="E462" s="16">
        <f t="shared" si="56"/>
        <v>58</v>
      </c>
      <c r="F462" s="12" t="str">
        <f t="shared" si="58"/>
        <v>40=&lt;60</v>
      </c>
      <c r="G462" s="12" t="s">
        <v>45</v>
      </c>
      <c r="H462" s="13">
        <v>2549.63</v>
      </c>
      <c r="I462" s="12" t="str">
        <f t="shared" si="59"/>
        <v>2000=&lt;3000 AZN</v>
      </c>
      <c r="J462" s="13">
        <v>1344.31</v>
      </c>
      <c r="K462" s="12" t="str">
        <f t="shared" si="60"/>
        <v>1000=&lt;2000 AZN</v>
      </c>
      <c r="L462" s="13">
        <f t="shared" si="61"/>
        <v>1205.3200000000002</v>
      </c>
      <c r="M462" s="52" t="str">
        <f t="shared" si="62"/>
        <v>musbet</v>
      </c>
      <c r="N462" s="19" t="str">
        <f t="shared" si="63"/>
        <v>Rəna Bəktaşi 24578</v>
      </c>
    </row>
    <row r="463" spans="1:14" ht="14.25" customHeight="1" x14ac:dyDescent="0.25">
      <c r="A463" s="12" t="s">
        <v>504</v>
      </c>
      <c r="B463" s="12" t="s">
        <v>39</v>
      </c>
      <c r="C463" s="14">
        <v>37406</v>
      </c>
      <c r="D463" s="17">
        <f t="shared" si="57"/>
        <v>2002</v>
      </c>
      <c r="E463" s="16">
        <f t="shared" si="56"/>
        <v>23</v>
      </c>
      <c r="F463" s="12" t="str">
        <f t="shared" si="58"/>
        <v>20=&lt;30</v>
      </c>
      <c r="G463" s="12" t="s">
        <v>45</v>
      </c>
      <c r="H463" s="13">
        <v>2677.94</v>
      </c>
      <c r="I463" s="12" t="str">
        <f t="shared" si="59"/>
        <v>2000=&lt;3000 AZN</v>
      </c>
      <c r="J463" s="13">
        <v>1782.53</v>
      </c>
      <c r="K463" s="12" t="str">
        <f t="shared" si="60"/>
        <v>1000=&lt;2000 AZN</v>
      </c>
      <c r="L463" s="13">
        <f t="shared" si="61"/>
        <v>895.41000000000008</v>
      </c>
      <c r="M463" s="52" t="str">
        <f t="shared" si="62"/>
        <v>musbet</v>
      </c>
      <c r="N463" s="19" t="str">
        <f t="shared" si="63"/>
        <v>Nəsib Düzgün 37406</v>
      </c>
    </row>
    <row r="464" spans="1:14" ht="14.25" customHeight="1" x14ac:dyDescent="0.25">
      <c r="A464" s="12" t="s">
        <v>505</v>
      </c>
      <c r="B464" s="12" t="s">
        <v>39</v>
      </c>
      <c r="C464" s="14">
        <v>25706</v>
      </c>
      <c r="D464" s="17">
        <f t="shared" si="57"/>
        <v>1970</v>
      </c>
      <c r="E464" s="16">
        <f t="shared" si="56"/>
        <v>55</v>
      </c>
      <c r="F464" s="12" t="str">
        <f t="shared" si="58"/>
        <v>40=&lt;60</v>
      </c>
      <c r="G464" s="12" t="s">
        <v>40</v>
      </c>
      <c r="H464" s="13">
        <v>770.06</v>
      </c>
      <c r="I464" s="12" t="str">
        <f t="shared" si="59"/>
        <v>&lt;1000 AZN</v>
      </c>
      <c r="J464" s="13">
        <v>962.16</v>
      </c>
      <c r="K464" s="12" t="str">
        <f t="shared" si="60"/>
        <v>&lt;1000 AZN</v>
      </c>
      <c r="L464" s="13">
        <f t="shared" si="61"/>
        <v>-192.10000000000002</v>
      </c>
      <c r="M464" s="52" t="str">
        <f t="shared" si="62"/>
        <v>menfi</v>
      </c>
      <c r="N464" s="19" t="str">
        <f t="shared" si="63"/>
        <v>Səxavət Düzgün 25706</v>
      </c>
    </row>
    <row r="465" spans="1:14" ht="14.25" customHeight="1" x14ac:dyDescent="0.25">
      <c r="A465" s="12" t="s">
        <v>506</v>
      </c>
      <c r="B465" s="12" t="s">
        <v>28</v>
      </c>
      <c r="C465" s="14">
        <v>30881</v>
      </c>
      <c r="D465" s="17">
        <f t="shared" si="57"/>
        <v>1984</v>
      </c>
      <c r="E465" s="16">
        <f t="shared" si="56"/>
        <v>41</v>
      </c>
      <c r="F465" s="12" t="str">
        <f t="shared" si="58"/>
        <v>40=&lt;60</v>
      </c>
      <c r="G465" s="12" t="s">
        <v>66</v>
      </c>
      <c r="H465" s="13">
        <v>4513.37</v>
      </c>
      <c r="I465" s="12" t="str">
        <f t="shared" si="59"/>
        <v>4000=&lt;5000 AZN</v>
      </c>
      <c r="J465" s="13">
        <v>3476.59</v>
      </c>
      <c r="K465" s="12" t="str">
        <f t="shared" si="60"/>
        <v>3000=&lt;4000 AZN</v>
      </c>
      <c r="L465" s="13">
        <f t="shared" si="61"/>
        <v>1036.7799999999997</v>
      </c>
      <c r="M465" s="52" t="str">
        <f t="shared" si="62"/>
        <v>musbet</v>
      </c>
      <c r="N465" s="19" t="str">
        <f t="shared" si="63"/>
        <v>Vəfadar Mirzəyev 30881</v>
      </c>
    </row>
    <row r="466" spans="1:14" ht="14.25" customHeight="1" x14ac:dyDescent="0.25">
      <c r="A466" s="12" t="s">
        <v>507</v>
      </c>
      <c r="B466" s="12" t="s">
        <v>56</v>
      </c>
      <c r="C466" s="14">
        <v>27377</v>
      </c>
      <c r="D466" s="17">
        <f t="shared" si="57"/>
        <v>1974</v>
      </c>
      <c r="E466" s="16">
        <f t="shared" si="56"/>
        <v>51</v>
      </c>
      <c r="F466" s="12" t="str">
        <f t="shared" si="58"/>
        <v>40=&lt;60</v>
      </c>
      <c r="G466" s="12" t="s">
        <v>58</v>
      </c>
      <c r="H466" s="13">
        <v>1315.94</v>
      </c>
      <c r="I466" s="12" t="str">
        <f t="shared" si="59"/>
        <v>1000=&lt;2000 AZN</v>
      </c>
      <c r="J466" s="13">
        <v>709.88</v>
      </c>
      <c r="K466" s="12" t="str">
        <f t="shared" si="60"/>
        <v>&lt;1000 AZN</v>
      </c>
      <c r="L466" s="13">
        <f t="shared" si="61"/>
        <v>606.06000000000006</v>
      </c>
      <c r="M466" s="52" t="str">
        <f t="shared" si="62"/>
        <v>musbet</v>
      </c>
      <c r="N466" s="19" t="str">
        <f t="shared" si="63"/>
        <v>Mahir Talıbzadə 27377</v>
      </c>
    </row>
    <row r="467" spans="1:14" ht="14.25" customHeight="1" x14ac:dyDescent="0.25">
      <c r="A467" s="12" t="s">
        <v>508</v>
      </c>
      <c r="B467" s="12" t="s">
        <v>39</v>
      </c>
      <c r="C467" s="14">
        <v>32435</v>
      </c>
      <c r="D467" s="17">
        <f t="shared" si="57"/>
        <v>1988</v>
      </c>
      <c r="E467" s="16">
        <f t="shared" si="56"/>
        <v>37</v>
      </c>
      <c r="F467" s="12" t="str">
        <f t="shared" si="58"/>
        <v>30=&lt;40</v>
      </c>
      <c r="G467" s="12" t="s">
        <v>49</v>
      </c>
      <c r="H467" s="13">
        <v>1487.66</v>
      </c>
      <c r="I467" s="12" t="str">
        <f t="shared" si="59"/>
        <v>1000=&lt;2000 AZN</v>
      </c>
      <c r="J467" s="13">
        <v>4371.2299999999996</v>
      </c>
      <c r="K467" s="12" t="str">
        <f t="shared" si="60"/>
        <v>4000=&lt;5000 AZN</v>
      </c>
      <c r="L467" s="13">
        <f t="shared" si="61"/>
        <v>-2883.5699999999997</v>
      </c>
      <c r="M467" s="52" t="str">
        <f t="shared" si="62"/>
        <v>menfi</v>
      </c>
      <c r="N467" s="19" t="str">
        <f t="shared" si="63"/>
        <v>Salman  Düzgün 32435</v>
      </c>
    </row>
    <row r="468" spans="1:14" ht="14.25" customHeight="1" x14ac:dyDescent="0.25">
      <c r="A468" s="12" t="s">
        <v>509</v>
      </c>
      <c r="B468" s="12" t="s">
        <v>28</v>
      </c>
      <c r="C468" s="14">
        <v>32499</v>
      </c>
      <c r="D468" s="17">
        <f t="shared" si="57"/>
        <v>1988</v>
      </c>
      <c r="E468" s="16">
        <f t="shared" si="56"/>
        <v>37</v>
      </c>
      <c r="F468" s="12" t="str">
        <f t="shared" si="58"/>
        <v>30=&lt;40</v>
      </c>
      <c r="G468" s="12" t="s">
        <v>45</v>
      </c>
      <c r="H468" s="13">
        <v>4028.68</v>
      </c>
      <c r="I468" s="12" t="str">
        <f t="shared" si="59"/>
        <v>4000=&lt;5000 AZN</v>
      </c>
      <c r="J468" s="13">
        <v>4749.21</v>
      </c>
      <c r="K468" s="12" t="str">
        <f t="shared" si="60"/>
        <v>4000=&lt;5000 AZN</v>
      </c>
      <c r="L468" s="13">
        <f t="shared" si="61"/>
        <v>-720.5300000000002</v>
      </c>
      <c r="M468" s="52" t="str">
        <f t="shared" si="62"/>
        <v>menfi</v>
      </c>
      <c r="N468" s="19" t="str">
        <f t="shared" si="63"/>
        <v>Nurulla Mirzəyev 32499</v>
      </c>
    </row>
    <row r="469" spans="1:14" ht="14.25" customHeight="1" x14ac:dyDescent="0.25">
      <c r="A469" s="12" t="s">
        <v>510</v>
      </c>
      <c r="B469" s="12" t="s">
        <v>44</v>
      </c>
      <c r="C469" s="14">
        <v>29669</v>
      </c>
      <c r="D469" s="17">
        <f t="shared" si="57"/>
        <v>1981</v>
      </c>
      <c r="E469" s="16">
        <f t="shared" si="56"/>
        <v>44</v>
      </c>
      <c r="F469" s="12" t="str">
        <f t="shared" si="58"/>
        <v>40=&lt;60</v>
      </c>
      <c r="G469" s="12" t="s">
        <v>53</v>
      </c>
      <c r="H469" s="13">
        <v>2271.42</v>
      </c>
      <c r="I469" s="12" t="str">
        <f t="shared" si="59"/>
        <v>2000=&lt;3000 AZN</v>
      </c>
      <c r="J469" s="13">
        <v>2252.5500000000002</v>
      </c>
      <c r="K469" s="12" t="str">
        <f t="shared" si="60"/>
        <v>2000=&lt;3000 AZN</v>
      </c>
      <c r="L469" s="13">
        <f t="shared" si="61"/>
        <v>18.869999999999891</v>
      </c>
      <c r="M469" s="52" t="str">
        <f t="shared" si="62"/>
        <v>musbet</v>
      </c>
      <c r="N469" s="19" t="str">
        <f t="shared" si="63"/>
        <v>Ənvər Təhmin 29669</v>
      </c>
    </row>
    <row r="470" spans="1:14" ht="14.25" customHeight="1" x14ac:dyDescent="0.25">
      <c r="A470" s="12" t="s">
        <v>511</v>
      </c>
      <c r="B470" s="12" t="s">
        <v>27</v>
      </c>
      <c r="C470" s="14">
        <v>26318</v>
      </c>
      <c r="D470" s="17">
        <f t="shared" si="57"/>
        <v>1972</v>
      </c>
      <c r="E470" s="16">
        <f t="shared" si="56"/>
        <v>53</v>
      </c>
      <c r="F470" s="12" t="str">
        <f t="shared" si="58"/>
        <v>40=&lt;60</v>
      </c>
      <c r="G470" s="12" t="s">
        <v>58</v>
      </c>
      <c r="H470" s="13">
        <v>1590.42</v>
      </c>
      <c r="I470" s="12" t="str">
        <f t="shared" si="59"/>
        <v>1000=&lt;2000 AZN</v>
      </c>
      <c r="J470" s="13">
        <v>549.16</v>
      </c>
      <c r="K470" s="12" t="str">
        <f t="shared" si="60"/>
        <v>&lt;1000 AZN</v>
      </c>
      <c r="L470" s="13">
        <f t="shared" si="61"/>
        <v>1041.2600000000002</v>
      </c>
      <c r="M470" s="52" t="str">
        <f t="shared" si="62"/>
        <v>musbet</v>
      </c>
      <c r="N470" s="19" t="str">
        <f t="shared" si="63"/>
        <v>Şəhla Vurğun 26318</v>
      </c>
    </row>
    <row r="471" spans="1:14" ht="14.25" customHeight="1" x14ac:dyDescent="0.25">
      <c r="A471" s="12" t="s">
        <v>55</v>
      </c>
      <c r="B471" s="12" t="s">
        <v>28</v>
      </c>
      <c r="C471" s="14">
        <v>28138</v>
      </c>
      <c r="D471" s="17">
        <f t="shared" si="57"/>
        <v>1977</v>
      </c>
      <c r="E471" s="16">
        <f t="shared" si="56"/>
        <v>48</v>
      </c>
      <c r="F471" s="12" t="str">
        <f t="shared" si="58"/>
        <v>40=&lt;60</v>
      </c>
      <c r="G471" s="12" t="s">
        <v>40</v>
      </c>
      <c r="H471" s="13">
        <v>2390.11</v>
      </c>
      <c r="I471" s="12" t="str">
        <f t="shared" si="59"/>
        <v>2000=&lt;3000 AZN</v>
      </c>
      <c r="J471" s="13">
        <v>2901.19</v>
      </c>
      <c r="K471" s="12" t="str">
        <f t="shared" si="60"/>
        <v>2000=&lt;3000 AZN</v>
      </c>
      <c r="L471" s="13">
        <f t="shared" si="61"/>
        <v>-511.07999999999993</v>
      </c>
      <c r="M471" s="52" t="str">
        <f t="shared" si="62"/>
        <v>menfi</v>
      </c>
      <c r="N471" s="19" t="str">
        <f t="shared" si="63"/>
        <v>Nihal Mirzəyev 28138</v>
      </c>
    </row>
    <row r="472" spans="1:14" ht="14.25" customHeight="1" x14ac:dyDescent="0.25">
      <c r="A472" s="12" t="s">
        <v>512</v>
      </c>
      <c r="B472" s="12" t="s">
        <v>65</v>
      </c>
      <c r="C472" s="14">
        <v>24316</v>
      </c>
      <c r="D472" s="17">
        <f t="shared" si="57"/>
        <v>1966</v>
      </c>
      <c r="E472" s="16">
        <f t="shared" si="56"/>
        <v>59</v>
      </c>
      <c r="F472" s="12" t="str">
        <f t="shared" si="58"/>
        <v>40=&lt;60</v>
      </c>
      <c r="G472" s="12" t="s">
        <v>58</v>
      </c>
      <c r="H472" s="13">
        <v>3039.45</v>
      </c>
      <c r="I472" s="12" t="str">
        <f t="shared" si="59"/>
        <v>3000=&lt;4000 AZN</v>
      </c>
      <c r="J472" s="13">
        <v>1260.27</v>
      </c>
      <c r="K472" s="12" t="str">
        <f t="shared" si="60"/>
        <v>1000=&lt;2000 AZN</v>
      </c>
      <c r="L472" s="13">
        <f t="shared" si="61"/>
        <v>1779.1799999999998</v>
      </c>
      <c r="M472" s="52" t="str">
        <f t="shared" si="62"/>
        <v>musbet</v>
      </c>
      <c r="N472" s="19" t="str">
        <f t="shared" si="63"/>
        <v>Sadiq Cabbarov 24316</v>
      </c>
    </row>
    <row r="473" spans="1:14" ht="14.25" customHeight="1" x14ac:dyDescent="0.25">
      <c r="A473" s="12" t="s">
        <v>513</v>
      </c>
      <c r="B473" s="12" t="s">
        <v>30</v>
      </c>
      <c r="C473" s="14">
        <v>23934</v>
      </c>
      <c r="D473" s="17">
        <f t="shared" si="57"/>
        <v>1965</v>
      </c>
      <c r="E473" s="16">
        <f t="shared" si="56"/>
        <v>60</v>
      </c>
      <c r="F473" s="12" t="str">
        <f t="shared" si="58"/>
        <v>60=&lt;</v>
      </c>
      <c r="G473" s="12" t="s">
        <v>66</v>
      </c>
      <c r="H473" s="13">
        <v>1262.78</v>
      </c>
      <c r="I473" s="12" t="str">
        <f t="shared" si="59"/>
        <v>1000=&lt;2000 AZN</v>
      </c>
      <c r="J473" s="13">
        <v>3992.18</v>
      </c>
      <c r="K473" s="12" t="str">
        <f t="shared" si="60"/>
        <v>3000=&lt;4000 AZN</v>
      </c>
      <c r="L473" s="13">
        <f t="shared" si="61"/>
        <v>-2729.3999999999996</v>
      </c>
      <c r="M473" s="52" t="str">
        <f t="shared" si="62"/>
        <v>menfi</v>
      </c>
      <c r="N473" s="19" t="str">
        <f t="shared" si="63"/>
        <v>Şeyda Bəktaşi 23934</v>
      </c>
    </row>
    <row r="474" spans="1:14" ht="14.25" customHeight="1" x14ac:dyDescent="0.25">
      <c r="A474" s="12" t="s">
        <v>514</v>
      </c>
      <c r="B474" s="12" t="s">
        <v>30</v>
      </c>
      <c r="C474" s="14">
        <v>30958</v>
      </c>
      <c r="D474" s="17">
        <f t="shared" si="57"/>
        <v>1984</v>
      </c>
      <c r="E474" s="16">
        <f t="shared" si="56"/>
        <v>41</v>
      </c>
      <c r="F474" s="12" t="str">
        <f t="shared" si="58"/>
        <v>40=&lt;60</v>
      </c>
      <c r="G474" s="12" t="s">
        <v>63</v>
      </c>
      <c r="H474" s="13">
        <v>825.45</v>
      </c>
      <c r="I474" s="12" t="str">
        <f t="shared" si="59"/>
        <v>&lt;1000 AZN</v>
      </c>
      <c r="J474" s="13">
        <v>1859.17</v>
      </c>
      <c r="K474" s="12" t="str">
        <f t="shared" si="60"/>
        <v>1000=&lt;2000 AZN</v>
      </c>
      <c r="L474" s="13">
        <f t="shared" si="61"/>
        <v>-1033.72</v>
      </c>
      <c r="M474" s="52" t="str">
        <f t="shared" si="62"/>
        <v>menfi</v>
      </c>
      <c r="N474" s="19" t="str">
        <f t="shared" si="63"/>
        <v>İsmayıl Bəktaşi 30958</v>
      </c>
    </row>
    <row r="475" spans="1:14" ht="14.25" customHeight="1" x14ac:dyDescent="0.25">
      <c r="A475" s="12" t="s">
        <v>515</v>
      </c>
      <c r="B475" s="12" t="s">
        <v>65</v>
      </c>
      <c r="C475" s="14">
        <v>33869</v>
      </c>
      <c r="D475" s="17">
        <f t="shared" si="57"/>
        <v>1992</v>
      </c>
      <c r="E475" s="16">
        <f t="shared" si="56"/>
        <v>33</v>
      </c>
      <c r="F475" s="12" t="str">
        <f t="shared" si="58"/>
        <v>30=&lt;40</v>
      </c>
      <c r="G475" s="12" t="s">
        <v>45</v>
      </c>
      <c r="H475" s="13">
        <v>4087.98</v>
      </c>
      <c r="I475" s="12" t="str">
        <f t="shared" si="59"/>
        <v>4000=&lt;5000 AZN</v>
      </c>
      <c r="J475" s="13">
        <v>823.45</v>
      </c>
      <c r="K475" s="12" t="str">
        <f t="shared" si="60"/>
        <v>&lt;1000 AZN</v>
      </c>
      <c r="L475" s="13">
        <f t="shared" si="61"/>
        <v>3264.5299999999997</v>
      </c>
      <c r="M475" s="52" t="str">
        <f t="shared" si="62"/>
        <v>musbet</v>
      </c>
      <c r="N475" s="19" t="str">
        <f t="shared" si="63"/>
        <v>Qaratel Cabbarov 33869</v>
      </c>
    </row>
    <row r="476" spans="1:14" ht="14.25" customHeight="1" x14ac:dyDescent="0.25">
      <c r="A476" s="12" t="s">
        <v>516</v>
      </c>
      <c r="B476" s="12" t="s">
        <v>48</v>
      </c>
      <c r="C476" s="14">
        <v>23194</v>
      </c>
      <c r="D476" s="17">
        <f t="shared" si="57"/>
        <v>1963</v>
      </c>
      <c r="E476" s="16">
        <f t="shared" si="56"/>
        <v>62</v>
      </c>
      <c r="F476" s="12" t="str">
        <f t="shared" si="58"/>
        <v>60=&lt;</v>
      </c>
      <c r="G476" s="12" t="s">
        <v>58</v>
      </c>
      <c r="H476" s="13">
        <v>2353.27</v>
      </c>
      <c r="I476" s="12" t="str">
        <f t="shared" si="59"/>
        <v>2000=&lt;3000 AZN</v>
      </c>
      <c r="J476" s="13">
        <v>3440.44</v>
      </c>
      <c r="K476" s="12" t="str">
        <f t="shared" si="60"/>
        <v>3000=&lt;4000 AZN</v>
      </c>
      <c r="L476" s="13">
        <f t="shared" si="61"/>
        <v>-1087.17</v>
      </c>
      <c r="M476" s="52" t="str">
        <f t="shared" si="62"/>
        <v>menfi</v>
      </c>
      <c r="N476" s="19" t="str">
        <f t="shared" si="63"/>
        <v>Ağamusa Abbasbəyli 23194</v>
      </c>
    </row>
    <row r="477" spans="1:14" ht="14.25" customHeight="1" x14ac:dyDescent="0.25">
      <c r="A477" s="12" t="s">
        <v>517</v>
      </c>
      <c r="B477" s="12" t="s">
        <v>30</v>
      </c>
      <c r="C477" s="14">
        <v>22033</v>
      </c>
      <c r="D477" s="17">
        <f t="shared" si="57"/>
        <v>1960</v>
      </c>
      <c r="E477" s="16">
        <f t="shared" si="56"/>
        <v>65</v>
      </c>
      <c r="F477" s="12" t="str">
        <f t="shared" si="58"/>
        <v>60=&lt;</v>
      </c>
      <c r="G477" s="12" t="s">
        <v>58</v>
      </c>
      <c r="H477" s="13">
        <v>3767.99</v>
      </c>
      <c r="I477" s="12" t="str">
        <f t="shared" si="59"/>
        <v>3000=&lt;4000 AZN</v>
      </c>
      <c r="J477" s="13">
        <v>3497.13</v>
      </c>
      <c r="K477" s="12" t="str">
        <f t="shared" si="60"/>
        <v>3000=&lt;4000 AZN</v>
      </c>
      <c r="L477" s="13">
        <f t="shared" si="61"/>
        <v>270.85999999999967</v>
      </c>
      <c r="M477" s="52" t="str">
        <f t="shared" si="62"/>
        <v>musbet</v>
      </c>
      <c r="N477" s="19" t="str">
        <f t="shared" si="63"/>
        <v>Murad Bəktaşi 22033</v>
      </c>
    </row>
    <row r="478" spans="1:14" ht="14.25" customHeight="1" x14ac:dyDescent="0.25">
      <c r="A478" s="12" t="s">
        <v>518</v>
      </c>
      <c r="B478" s="12" t="s">
        <v>65</v>
      </c>
      <c r="C478" s="14">
        <v>31487</v>
      </c>
      <c r="D478" s="17">
        <f t="shared" si="57"/>
        <v>1986</v>
      </c>
      <c r="E478" s="16">
        <f t="shared" si="56"/>
        <v>39</v>
      </c>
      <c r="F478" s="12" t="str">
        <f t="shared" si="58"/>
        <v>30=&lt;40</v>
      </c>
      <c r="G478" s="12" t="s">
        <v>49</v>
      </c>
      <c r="H478" s="13">
        <v>3931.39</v>
      </c>
      <c r="I478" s="12" t="str">
        <f t="shared" si="59"/>
        <v>3000=&lt;4000 AZN</v>
      </c>
      <c r="J478" s="13">
        <v>450.62</v>
      </c>
      <c r="K478" s="12" t="str">
        <f t="shared" si="60"/>
        <v>&lt;1000 AZN</v>
      </c>
      <c r="L478" s="13">
        <f t="shared" si="61"/>
        <v>3480.77</v>
      </c>
      <c r="M478" s="52" t="str">
        <f t="shared" si="62"/>
        <v>musbet</v>
      </c>
      <c r="N478" s="19" t="str">
        <f t="shared" si="63"/>
        <v>Yadigar Cabbarov 31487</v>
      </c>
    </row>
    <row r="479" spans="1:14" ht="14.25" customHeight="1" x14ac:dyDescent="0.25">
      <c r="A479" s="12" t="s">
        <v>519</v>
      </c>
      <c r="B479" s="12" t="s">
        <v>30</v>
      </c>
      <c r="C479" s="14">
        <v>31601</v>
      </c>
      <c r="D479" s="17">
        <f t="shared" si="57"/>
        <v>1986</v>
      </c>
      <c r="E479" s="16">
        <f t="shared" si="56"/>
        <v>39</v>
      </c>
      <c r="F479" s="12" t="str">
        <f t="shared" si="58"/>
        <v>30=&lt;40</v>
      </c>
      <c r="G479" s="12" t="s">
        <v>42</v>
      </c>
      <c r="H479" s="13">
        <v>622.64</v>
      </c>
      <c r="I479" s="12" t="str">
        <f t="shared" si="59"/>
        <v>&lt;1000 AZN</v>
      </c>
      <c r="J479" s="13">
        <v>4731.8100000000004</v>
      </c>
      <c r="K479" s="12" t="str">
        <f t="shared" si="60"/>
        <v>4000=&lt;5000 AZN</v>
      </c>
      <c r="L479" s="13">
        <f t="shared" si="61"/>
        <v>-4109.17</v>
      </c>
      <c r="M479" s="52" t="str">
        <f t="shared" si="62"/>
        <v>menfi</v>
      </c>
      <c r="N479" s="19" t="str">
        <f t="shared" si="63"/>
        <v>Fatihə Bəktaşi 31601</v>
      </c>
    </row>
    <row r="480" spans="1:14" ht="14.25" customHeight="1" x14ac:dyDescent="0.25">
      <c r="A480" s="12" t="s">
        <v>520</v>
      </c>
      <c r="B480" s="12" t="s">
        <v>27</v>
      </c>
      <c r="C480" s="14">
        <v>24051</v>
      </c>
      <c r="D480" s="17">
        <f t="shared" si="57"/>
        <v>1965</v>
      </c>
      <c r="E480" s="16">
        <f t="shared" si="56"/>
        <v>60</v>
      </c>
      <c r="F480" s="12" t="str">
        <f t="shared" si="58"/>
        <v>60=&lt;</v>
      </c>
      <c r="G480" s="12" t="s">
        <v>45</v>
      </c>
      <c r="H480" s="13">
        <v>3139.39</v>
      </c>
      <c r="I480" s="12" t="str">
        <f t="shared" si="59"/>
        <v>3000=&lt;4000 AZN</v>
      </c>
      <c r="J480" s="13">
        <v>3967.75</v>
      </c>
      <c r="K480" s="12" t="str">
        <f t="shared" si="60"/>
        <v>3000=&lt;4000 AZN</v>
      </c>
      <c r="L480" s="13">
        <f t="shared" si="61"/>
        <v>-828.36000000000013</v>
      </c>
      <c r="M480" s="52" t="str">
        <f t="shared" si="62"/>
        <v>menfi</v>
      </c>
      <c r="N480" s="19" t="str">
        <f t="shared" si="63"/>
        <v>Vazeh Vurğun 24051</v>
      </c>
    </row>
    <row r="481" spans="1:14" ht="14.25" customHeight="1" x14ac:dyDescent="0.25">
      <c r="A481" s="12" t="s">
        <v>521</v>
      </c>
      <c r="B481" s="12" t="s">
        <v>56</v>
      </c>
      <c r="C481" s="14">
        <v>32321</v>
      </c>
      <c r="D481" s="17">
        <f t="shared" si="57"/>
        <v>1988</v>
      </c>
      <c r="E481" s="16">
        <f t="shared" si="56"/>
        <v>37</v>
      </c>
      <c r="F481" s="12" t="str">
        <f t="shared" si="58"/>
        <v>30=&lt;40</v>
      </c>
      <c r="G481" s="12" t="s">
        <v>58</v>
      </c>
      <c r="H481" s="13">
        <v>2624.19</v>
      </c>
      <c r="I481" s="12" t="str">
        <f t="shared" si="59"/>
        <v>2000=&lt;3000 AZN</v>
      </c>
      <c r="J481" s="13">
        <v>3469.56</v>
      </c>
      <c r="K481" s="12" t="str">
        <f t="shared" si="60"/>
        <v>3000=&lt;4000 AZN</v>
      </c>
      <c r="L481" s="13">
        <f t="shared" si="61"/>
        <v>-845.36999999999989</v>
      </c>
      <c r="M481" s="52" t="str">
        <f t="shared" si="62"/>
        <v>menfi</v>
      </c>
      <c r="N481" s="19" t="str">
        <f t="shared" si="63"/>
        <v>Gülmira Talıbzadə 32321</v>
      </c>
    </row>
    <row r="482" spans="1:14" ht="14.25" customHeight="1" x14ac:dyDescent="0.25">
      <c r="A482" s="12" t="s">
        <v>522</v>
      </c>
      <c r="B482" s="12" t="s">
        <v>44</v>
      </c>
      <c r="C482" s="14">
        <v>35512</v>
      </c>
      <c r="D482" s="17">
        <f t="shared" si="57"/>
        <v>1997</v>
      </c>
      <c r="E482" s="16">
        <f t="shared" si="56"/>
        <v>28</v>
      </c>
      <c r="F482" s="12" t="str">
        <f t="shared" si="58"/>
        <v>20=&lt;30</v>
      </c>
      <c r="G482" s="12" t="s">
        <v>53</v>
      </c>
      <c r="H482" s="13">
        <v>2635.62</v>
      </c>
      <c r="I482" s="12" t="str">
        <f t="shared" si="59"/>
        <v>2000=&lt;3000 AZN</v>
      </c>
      <c r="J482" s="13">
        <v>2713.89</v>
      </c>
      <c r="K482" s="12" t="str">
        <f t="shared" si="60"/>
        <v>2000=&lt;3000 AZN</v>
      </c>
      <c r="L482" s="13">
        <f t="shared" si="61"/>
        <v>-78.269999999999982</v>
      </c>
      <c r="M482" s="52" t="str">
        <f t="shared" si="62"/>
        <v>menfi</v>
      </c>
      <c r="N482" s="19" t="str">
        <f t="shared" si="63"/>
        <v>Lamiyə Təhmin 35512</v>
      </c>
    </row>
    <row r="483" spans="1:14" ht="14.25" customHeight="1" x14ac:dyDescent="0.25">
      <c r="A483" s="12" t="s">
        <v>523</v>
      </c>
      <c r="B483" s="12" t="s">
        <v>28</v>
      </c>
      <c r="C483" s="14">
        <v>34873</v>
      </c>
      <c r="D483" s="17">
        <f t="shared" si="57"/>
        <v>1995</v>
      </c>
      <c r="E483" s="16">
        <f t="shared" si="56"/>
        <v>30</v>
      </c>
      <c r="F483" s="12" t="str">
        <f t="shared" si="58"/>
        <v>30=&lt;40</v>
      </c>
      <c r="G483" s="12" t="s">
        <v>66</v>
      </c>
      <c r="H483" s="13">
        <v>1583.19</v>
      </c>
      <c r="I483" s="12" t="str">
        <f t="shared" si="59"/>
        <v>1000=&lt;2000 AZN</v>
      </c>
      <c r="J483" s="13">
        <v>318.7</v>
      </c>
      <c r="K483" s="12" t="str">
        <f t="shared" si="60"/>
        <v>&lt;1000 AZN</v>
      </c>
      <c r="L483" s="13">
        <f t="shared" si="61"/>
        <v>1264.49</v>
      </c>
      <c r="M483" s="52" t="str">
        <f t="shared" si="62"/>
        <v>musbet</v>
      </c>
      <c r="N483" s="19" t="str">
        <f t="shared" si="63"/>
        <v>İmam Mirzəyev 34873</v>
      </c>
    </row>
    <row r="484" spans="1:14" ht="14.25" customHeight="1" x14ac:dyDescent="0.25">
      <c r="A484" s="12" t="s">
        <v>524</v>
      </c>
      <c r="B484" s="12" t="s">
        <v>65</v>
      </c>
      <c r="C484" s="14">
        <v>23743</v>
      </c>
      <c r="D484" s="17">
        <f t="shared" si="57"/>
        <v>1965</v>
      </c>
      <c r="E484" s="16">
        <f t="shared" si="56"/>
        <v>60</v>
      </c>
      <c r="F484" s="12" t="str">
        <f t="shared" si="58"/>
        <v>60=&lt;</v>
      </c>
      <c r="G484" s="12" t="s">
        <v>58</v>
      </c>
      <c r="H484" s="13">
        <v>3919.04</v>
      </c>
      <c r="I484" s="12" t="str">
        <f t="shared" si="59"/>
        <v>3000=&lt;4000 AZN</v>
      </c>
      <c r="J484" s="13">
        <v>1609.76</v>
      </c>
      <c r="K484" s="12" t="str">
        <f t="shared" si="60"/>
        <v>1000=&lt;2000 AZN</v>
      </c>
      <c r="L484" s="13">
        <f t="shared" si="61"/>
        <v>2309.2799999999997</v>
      </c>
      <c r="M484" s="52" t="str">
        <f t="shared" si="62"/>
        <v>musbet</v>
      </c>
      <c r="N484" s="19" t="str">
        <f t="shared" si="63"/>
        <v>Orduxan Cabbarov 23743</v>
      </c>
    </row>
    <row r="485" spans="1:14" ht="14.25" customHeight="1" x14ac:dyDescent="0.25">
      <c r="A485" s="12" t="s">
        <v>525</v>
      </c>
      <c r="B485" s="12" t="s">
        <v>27</v>
      </c>
      <c r="C485" s="14">
        <v>22217</v>
      </c>
      <c r="D485" s="17">
        <f t="shared" si="57"/>
        <v>1960</v>
      </c>
      <c r="E485" s="16">
        <f t="shared" si="56"/>
        <v>65</v>
      </c>
      <c r="F485" s="12" t="str">
        <f t="shared" si="58"/>
        <v>60=&lt;</v>
      </c>
      <c r="G485" s="12" t="s">
        <v>51</v>
      </c>
      <c r="H485" s="13">
        <v>4408.49</v>
      </c>
      <c r="I485" s="12" t="str">
        <f t="shared" si="59"/>
        <v>4000=&lt;5000 AZN</v>
      </c>
      <c r="J485" s="13">
        <v>4302.82</v>
      </c>
      <c r="K485" s="12" t="str">
        <f t="shared" si="60"/>
        <v>4000=&lt;5000 AZN</v>
      </c>
      <c r="L485" s="13">
        <f t="shared" si="61"/>
        <v>105.67000000000007</v>
      </c>
      <c r="M485" s="52" t="str">
        <f t="shared" si="62"/>
        <v>musbet</v>
      </c>
      <c r="N485" s="19" t="str">
        <f t="shared" si="63"/>
        <v>Sona Vurğun 22217</v>
      </c>
    </row>
    <row r="486" spans="1:14" ht="14.25" customHeight="1" x14ac:dyDescent="0.25">
      <c r="A486" s="12" t="s">
        <v>526</v>
      </c>
      <c r="B486" s="12" t="s">
        <v>48</v>
      </c>
      <c r="C486" s="14">
        <v>22746</v>
      </c>
      <c r="D486" s="17">
        <f t="shared" si="57"/>
        <v>1962</v>
      </c>
      <c r="E486" s="16">
        <f t="shared" si="56"/>
        <v>63</v>
      </c>
      <c r="F486" s="12" t="str">
        <f t="shared" si="58"/>
        <v>60=&lt;</v>
      </c>
      <c r="G486" s="12" t="s">
        <v>58</v>
      </c>
      <c r="H486" s="13">
        <v>4760.54</v>
      </c>
      <c r="I486" s="12" t="str">
        <f t="shared" si="59"/>
        <v>4000=&lt;5000 AZN</v>
      </c>
      <c r="J486" s="13">
        <v>664.93</v>
      </c>
      <c r="K486" s="12" t="str">
        <f t="shared" si="60"/>
        <v>&lt;1000 AZN</v>
      </c>
      <c r="L486" s="13">
        <f t="shared" si="61"/>
        <v>4095.61</v>
      </c>
      <c r="M486" s="52" t="str">
        <f t="shared" si="62"/>
        <v>musbet</v>
      </c>
      <c r="N486" s="19" t="str">
        <f t="shared" si="63"/>
        <v>Yavər Abbasbəyli 22746</v>
      </c>
    </row>
    <row r="487" spans="1:14" ht="14.25" customHeight="1" x14ac:dyDescent="0.25">
      <c r="A487" s="12" t="s">
        <v>527</v>
      </c>
      <c r="B487" s="12" t="s">
        <v>29</v>
      </c>
      <c r="C487" s="14">
        <v>31515</v>
      </c>
      <c r="D487" s="17">
        <f t="shared" si="57"/>
        <v>1986</v>
      </c>
      <c r="E487" s="16">
        <f t="shared" si="56"/>
        <v>39</v>
      </c>
      <c r="F487" s="12" t="str">
        <f t="shared" si="58"/>
        <v>30=&lt;40</v>
      </c>
      <c r="G487" s="12" t="s">
        <v>40</v>
      </c>
      <c r="H487" s="13">
        <v>2017.65</v>
      </c>
      <c r="I487" s="12" t="str">
        <f t="shared" si="59"/>
        <v>2000=&lt;3000 AZN</v>
      </c>
      <c r="J487" s="13">
        <v>399.48</v>
      </c>
      <c r="K487" s="12" t="str">
        <f t="shared" si="60"/>
        <v>&lt;1000 AZN</v>
      </c>
      <c r="L487" s="13">
        <f t="shared" si="61"/>
        <v>1618.17</v>
      </c>
      <c r="M487" s="52" t="str">
        <f t="shared" si="62"/>
        <v>musbet</v>
      </c>
      <c r="N487" s="19" t="str">
        <f t="shared" si="63"/>
        <v>Gülxar Bayramov 31515</v>
      </c>
    </row>
    <row r="488" spans="1:14" ht="14.25" customHeight="1" x14ac:dyDescent="0.25">
      <c r="A488" s="12" t="s">
        <v>528</v>
      </c>
      <c r="B488" s="12" t="s">
        <v>65</v>
      </c>
      <c r="C488" s="14">
        <v>22397</v>
      </c>
      <c r="D488" s="17">
        <f t="shared" si="57"/>
        <v>1961</v>
      </c>
      <c r="E488" s="16">
        <f t="shared" si="56"/>
        <v>64</v>
      </c>
      <c r="F488" s="12" t="str">
        <f t="shared" si="58"/>
        <v>60=&lt;</v>
      </c>
      <c r="G488" s="12" t="s">
        <v>60</v>
      </c>
      <c r="H488" s="13">
        <v>1252.6099999999999</v>
      </c>
      <c r="I488" s="12" t="str">
        <f t="shared" si="59"/>
        <v>1000=&lt;2000 AZN</v>
      </c>
      <c r="J488" s="13">
        <v>4248.58</v>
      </c>
      <c r="K488" s="12" t="str">
        <f t="shared" si="60"/>
        <v>4000=&lt;5000 AZN</v>
      </c>
      <c r="L488" s="13">
        <f t="shared" si="61"/>
        <v>-2995.9700000000003</v>
      </c>
      <c r="M488" s="52" t="str">
        <f t="shared" si="62"/>
        <v>menfi</v>
      </c>
      <c r="N488" s="19" t="str">
        <f t="shared" si="63"/>
        <v>Gülzar Cabbarov 22397</v>
      </c>
    </row>
    <row r="489" spans="1:14" ht="14.25" customHeight="1" x14ac:dyDescent="0.25">
      <c r="A489" s="12" t="s">
        <v>529</v>
      </c>
      <c r="B489" s="12" t="s">
        <v>44</v>
      </c>
      <c r="C489" s="14">
        <v>30542</v>
      </c>
      <c r="D489" s="17">
        <f t="shared" si="57"/>
        <v>1983</v>
      </c>
      <c r="E489" s="16">
        <f t="shared" si="56"/>
        <v>42</v>
      </c>
      <c r="F489" s="12" t="str">
        <f t="shared" si="58"/>
        <v>40=&lt;60</v>
      </c>
      <c r="G489" s="12" t="s">
        <v>45</v>
      </c>
      <c r="H489" s="13">
        <v>3715.19</v>
      </c>
      <c r="I489" s="12" t="str">
        <f t="shared" si="59"/>
        <v>3000=&lt;4000 AZN</v>
      </c>
      <c r="J489" s="13">
        <v>2154.6799999999998</v>
      </c>
      <c r="K489" s="12" t="str">
        <f t="shared" si="60"/>
        <v>2000=&lt;3000 AZN</v>
      </c>
      <c r="L489" s="13">
        <f t="shared" si="61"/>
        <v>1560.5100000000002</v>
      </c>
      <c r="M489" s="52" t="str">
        <f t="shared" si="62"/>
        <v>musbet</v>
      </c>
      <c r="N489" s="19" t="str">
        <f t="shared" si="63"/>
        <v>Qulu Təhmin 30542</v>
      </c>
    </row>
    <row r="490" spans="1:14" ht="14.25" customHeight="1" x14ac:dyDescent="0.25">
      <c r="A490" s="12" t="s">
        <v>530</v>
      </c>
      <c r="B490" s="12" t="s">
        <v>65</v>
      </c>
      <c r="C490" s="14">
        <v>33443</v>
      </c>
      <c r="D490" s="17">
        <f t="shared" si="57"/>
        <v>1991</v>
      </c>
      <c r="E490" s="16">
        <f t="shared" si="56"/>
        <v>34</v>
      </c>
      <c r="F490" s="12" t="str">
        <f t="shared" si="58"/>
        <v>30=&lt;40</v>
      </c>
      <c r="G490" s="12" t="s">
        <v>49</v>
      </c>
      <c r="H490" s="13">
        <v>4326.32</v>
      </c>
      <c r="I490" s="12" t="str">
        <f t="shared" si="59"/>
        <v>4000=&lt;5000 AZN</v>
      </c>
      <c r="J490" s="13">
        <v>3242.82</v>
      </c>
      <c r="K490" s="12" t="str">
        <f t="shared" si="60"/>
        <v>3000=&lt;4000 AZN</v>
      </c>
      <c r="L490" s="13">
        <f t="shared" si="61"/>
        <v>1083.4999999999995</v>
      </c>
      <c r="M490" s="52" t="str">
        <f t="shared" si="62"/>
        <v>musbet</v>
      </c>
      <c r="N490" s="19" t="str">
        <f t="shared" si="63"/>
        <v>Şahvələd Cabbarov 33443</v>
      </c>
    </row>
    <row r="491" spans="1:14" ht="14.25" customHeight="1" x14ac:dyDescent="0.25">
      <c r="A491" s="12" t="s">
        <v>531</v>
      </c>
      <c r="B491" s="12" t="s">
        <v>26</v>
      </c>
      <c r="C491" s="14">
        <v>27154</v>
      </c>
      <c r="D491" s="17">
        <f t="shared" si="57"/>
        <v>1974</v>
      </c>
      <c r="E491" s="16">
        <f t="shared" si="56"/>
        <v>51</v>
      </c>
      <c r="F491" s="12" t="str">
        <f t="shared" si="58"/>
        <v>40=&lt;60</v>
      </c>
      <c r="G491" s="12" t="s">
        <v>40</v>
      </c>
      <c r="H491" s="13">
        <v>1674.75</v>
      </c>
      <c r="I491" s="12" t="str">
        <f t="shared" si="59"/>
        <v>1000=&lt;2000 AZN</v>
      </c>
      <c r="J491" s="13">
        <v>1405.05</v>
      </c>
      <c r="K491" s="12" t="str">
        <f t="shared" si="60"/>
        <v>1000=&lt;2000 AZN</v>
      </c>
      <c r="L491" s="13">
        <f t="shared" si="61"/>
        <v>269.70000000000005</v>
      </c>
      <c r="M491" s="52" t="str">
        <f t="shared" si="62"/>
        <v>musbet</v>
      </c>
      <c r="N491" s="19" t="str">
        <f t="shared" si="63"/>
        <v>Hilal Həsənli 27154</v>
      </c>
    </row>
    <row r="492" spans="1:14" ht="14.25" customHeight="1" x14ac:dyDescent="0.25">
      <c r="A492" s="12" t="s">
        <v>532</v>
      </c>
      <c r="B492" s="12" t="s">
        <v>48</v>
      </c>
      <c r="C492" s="14">
        <v>37464</v>
      </c>
      <c r="D492" s="17">
        <f t="shared" si="57"/>
        <v>2002</v>
      </c>
      <c r="E492" s="16">
        <f t="shared" si="56"/>
        <v>23</v>
      </c>
      <c r="F492" s="12" t="str">
        <f t="shared" si="58"/>
        <v>20=&lt;30</v>
      </c>
      <c r="G492" s="12" t="s">
        <v>63</v>
      </c>
      <c r="H492" s="13">
        <v>2881.23</v>
      </c>
      <c r="I492" s="12" t="str">
        <f t="shared" si="59"/>
        <v>2000=&lt;3000 AZN</v>
      </c>
      <c r="J492" s="13">
        <v>2702.61</v>
      </c>
      <c r="K492" s="12" t="str">
        <f t="shared" si="60"/>
        <v>2000=&lt;3000 AZN</v>
      </c>
      <c r="L492" s="13">
        <f t="shared" si="61"/>
        <v>178.61999999999989</v>
      </c>
      <c r="M492" s="52" t="str">
        <f t="shared" si="62"/>
        <v>musbet</v>
      </c>
      <c r="N492" s="19" t="str">
        <f t="shared" si="63"/>
        <v>Asilə Abbasbəyli 37464</v>
      </c>
    </row>
    <row r="493" spans="1:14" ht="14.25" customHeight="1" x14ac:dyDescent="0.25">
      <c r="A493" s="12" t="s">
        <v>533</v>
      </c>
      <c r="B493" s="12" t="s">
        <v>65</v>
      </c>
      <c r="C493" s="14">
        <v>31560</v>
      </c>
      <c r="D493" s="17">
        <f t="shared" si="57"/>
        <v>1986</v>
      </c>
      <c r="E493" s="16">
        <f t="shared" si="56"/>
        <v>39</v>
      </c>
      <c r="F493" s="12" t="str">
        <f t="shared" si="58"/>
        <v>30=&lt;40</v>
      </c>
      <c r="G493" s="12" t="s">
        <v>63</v>
      </c>
      <c r="H493" s="13">
        <v>1680.44</v>
      </c>
      <c r="I493" s="12" t="str">
        <f t="shared" si="59"/>
        <v>1000=&lt;2000 AZN</v>
      </c>
      <c r="J493" s="13">
        <v>1102.3800000000001</v>
      </c>
      <c r="K493" s="12" t="str">
        <f t="shared" si="60"/>
        <v>1000=&lt;2000 AZN</v>
      </c>
      <c r="L493" s="13">
        <f t="shared" si="61"/>
        <v>578.05999999999995</v>
      </c>
      <c r="M493" s="52" t="str">
        <f t="shared" si="62"/>
        <v>musbet</v>
      </c>
      <c r="N493" s="19" t="str">
        <f t="shared" si="63"/>
        <v>Dünyamalı Cabbarov 31560</v>
      </c>
    </row>
    <row r="494" spans="1:14" ht="14.25" customHeight="1" x14ac:dyDescent="0.25">
      <c r="A494" s="12" t="s">
        <v>534</v>
      </c>
      <c r="B494" s="12" t="s">
        <v>56</v>
      </c>
      <c r="C494" s="14">
        <v>32086</v>
      </c>
      <c r="D494" s="17">
        <f t="shared" si="57"/>
        <v>1987</v>
      </c>
      <c r="E494" s="16">
        <f t="shared" si="56"/>
        <v>38</v>
      </c>
      <c r="F494" s="12" t="str">
        <f t="shared" si="58"/>
        <v>30=&lt;40</v>
      </c>
      <c r="G494" s="12" t="s">
        <v>40</v>
      </c>
      <c r="H494" s="13">
        <v>4488.45</v>
      </c>
      <c r="I494" s="12" t="str">
        <f t="shared" si="59"/>
        <v>4000=&lt;5000 AZN</v>
      </c>
      <c r="J494" s="13">
        <v>1389.39</v>
      </c>
      <c r="K494" s="12" t="str">
        <f t="shared" si="60"/>
        <v>1000=&lt;2000 AZN</v>
      </c>
      <c r="L494" s="13">
        <f t="shared" si="61"/>
        <v>3099.0599999999995</v>
      </c>
      <c r="M494" s="52" t="str">
        <f t="shared" si="62"/>
        <v>musbet</v>
      </c>
      <c r="N494" s="19" t="str">
        <f t="shared" si="63"/>
        <v>Əyyub Talıbzadə 32086</v>
      </c>
    </row>
    <row r="495" spans="1:14" ht="14.25" customHeight="1" x14ac:dyDescent="0.25">
      <c r="A495" s="12" t="s">
        <v>535</v>
      </c>
      <c r="B495" s="12" t="s">
        <v>26</v>
      </c>
      <c r="C495" s="14">
        <v>33504</v>
      </c>
      <c r="D495" s="17">
        <f t="shared" si="57"/>
        <v>1991</v>
      </c>
      <c r="E495" s="16">
        <f t="shared" si="56"/>
        <v>34</v>
      </c>
      <c r="F495" s="12" t="str">
        <f t="shared" si="58"/>
        <v>30=&lt;40</v>
      </c>
      <c r="G495" s="12" t="s">
        <v>63</v>
      </c>
      <c r="H495" s="13">
        <v>604.85</v>
      </c>
      <c r="I495" s="12" t="str">
        <f t="shared" si="59"/>
        <v>&lt;1000 AZN</v>
      </c>
      <c r="J495" s="13">
        <v>1576.93</v>
      </c>
      <c r="K495" s="12" t="str">
        <f t="shared" si="60"/>
        <v>1000=&lt;2000 AZN</v>
      </c>
      <c r="L495" s="13">
        <f t="shared" si="61"/>
        <v>-972.08</v>
      </c>
      <c r="M495" s="52" t="str">
        <f t="shared" si="62"/>
        <v>menfi</v>
      </c>
      <c r="N495" s="19" t="str">
        <f t="shared" si="63"/>
        <v>Çiçək Həsənli 33504</v>
      </c>
    </row>
    <row r="496" spans="1:14" ht="14.25" customHeight="1" x14ac:dyDescent="0.25">
      <c r="A496" s="12" t="s">
        <v>536</v>
      </c>
      <c r="B496" s="12" t="s">
        <v>27</v>
      </c>
      <c r="C496" s="14">
        <v>27427</v>
      </c>
      <c r="D496" s="17">
        <f t="shared" si="57"/>
        <v>1975</v>
      </c>
      <c r="E496" s="16">
        <f t="shared" si="56"/>
        <v>50</v>
      </c>
      <c r="F496" s="12" t="str">
        <f t="shared" si="58"/>
        <v>40=&lt;60</v>
      </c>
      <c r="G496" s="12" t="s">
        <v>42</v>
      </c>
      <c r="H496" s="13">
        <v>4065.56</v>
      </c>
      <c r="I496" s="12" t="str">
        <f t="shared" si="59"/>
        <v>4000=&lt;5000 AZN</v>
      </c>
      <c r="J496" s="13">
        <v>1879.45</v>
      </c>
      <c r="K496" s="12" t="str">
        <f t="shared" si="60"/>
        <v>1000=&lt;2000 AZN</v>
      </c>
      <c r="L496" s="13">
        <f t="shared" si="61"/>
        <v>2186.1099999999997</v>
      </c>
      <c r="M496" s="52" t="str">
        <f t="shared" si="62"/>
        <v>musbet</v>
      </c>
      <c r="N496" s="19" t="str">
        <f t="shared" si="63"/>
        <v>Sübhan Vurğun 27427</v>
      </c>
    </row>
    <row r="497" spans="1:14" ht="14.25" customHeight="1" x14ac:dyDescent="0.25">
      <c r="A497" s="12" t="s">
        <v>537</v>
      </c>
      <c r="B497" s="12" t="s">
        <v>65</v>
      </c>
      <c r="C497" s="14">
        <v>32789</v>
      </c>
      <c r="D497" s="17">
        <f t="shared" si="57"/>
        <v>1989</v>
      </c>
      <c r="E497" s="16">
        <f t="shared" si="56"/>
        <v>36</v>
      </c>
      <c r="F497" s="12" t="str">
        <f t="shared" si="58"/>
        <v>30=&lt;40</v>
      </c>
      <c r="G497" s="12" t="s">
        <v>58</v>
      </c>
      <c r="H497" s="13">
        <v>2508.44</v>
      </c>
      <c r="I497" s="12" t="str">
        <f t="shared" si="59"/>
        <v>2000=&lt;3000 AZN</v>
      </c>
      <c r="J497" s="13">
        <v>613.33000000000004</v>
      </c>
      <c r="K497" s="12" t="str">
        <f t="shared" si="60"/>
        <v>&lt;1000 AZN</v>
      </c>
      <c r="L497" s="13">
        <f t="shared" si="61"/>
        <v>1895.1100000000001</v>
      </c>
      <c r="M497" s="52" t="str">
        <f t="shared" si="62"/>
        <v>musbet</v>
      </c>
      <c r="N497" s="19" t="str">
        <f t="shared" si="63"/>
        <v>Cəmil Cabbarov 32789</v>
      </c>
    </row>
    <row r="498" spans="1:14" ht="14.25" customHeight="1" x14ac:dyDescent="0.25">
      <c r="A498" s="12" t="s">
        <v>538</v>
      </c>
      <c r="B498" s="12" t="s">
        <v>44</v>
      </c>
      <c r="C498" s="14">
        <v>28820</v>
      </c>
      <c r="D498" s="17">
        <f t="shared" si="57"/>
        <v>1978</v>
      </c>
      <c r="E498" s="16">
        <f t="shared" si="56"/>
        <v>47</v>
      </c>
      <c r="F498" s="12" t="str">
        <f t="shared" si="58"/>
        <v>40=&lt;60</v>
      </c>
      <c r="G498" s="12" t="s">
        <v>53</v>
      </c>
      <c r="H498" s="13">
        <v>4356.45</v>
      </c>
      <c r="I498" s="12" t="str">
        <f t="shared" si="59"/>
        <v>4000=&lt;5000 AZN</v>
      </c>
      <c r="J498" s="13">
        <v>4202.8</v>
      </c>
      <c r="K498" s="12" t="str">
        <f t="shared" si="60"/>
        <v>4000=&lt;5000 AZN</v>
      </c>
      <c r="L498" s="13">
        <f t="shared" si="61"/>
        <v>153.64999999999964</v>
      </c>
      <c r="M498" s="52" t="str">
        <f t="shared" si="62"/>
        <v>musbet</v>
      </c>
      <c r="N498" s="19" t="str">
        <f t="shared" si="63"/>
        <v>Nurşən Təhmin 28820</v>
      </c>
    </row>
    <row r="499" spans="1:14" ht="14.25" customHeight="1" x14ac:dyDescent="0.25">
      <c r="A499" s="12" t="s">
        <v>539</v>
      </c>
      <c r="B499" s="12" t="s">
        <v>65</v>
      </c>
      <c r="C499" s="14">
        <v>22388</v>
      </c>
      <c r="D499" s="17">
        <f t="shared" si="57"/>
        <v>1961</v>
      </c>
      <c r="E499" s="16">
        <f t="shared" si="56"/>
        <v>64</v>
      </c>
      <c r="F499" s="12" t="str">
        <f t="shared" si="58"/>
        <v>60=&lt;</v>
      </c>
      <c r="G499" s="12" t="s">
        <v>58</v>
      </c>
      <c r="H499" s="13">
        <v>1818.97</v>
      </c>
      <c r="I499" s="12" t="str">
        <f t="shared" si="59"/>
        <v>1000=&lt;2000 AZN</v>
      </c>
      <c r="J499" s="13">
        <v>4567.1899999999996</v>
      </c>
      <c r="K499" s="12" t="str">
        <f t="shared" si="60"/>
        <v>4000=&lt;5000 AZN</v>
      </c>
      <c r="L499" s="13">
        <f t="shared" si="61"/>
        <v>-2748.2199999999993</v>
      </c>
      <c r="M499" s="52" t="str">
        <f t="shared" si="62"/>
        <v>menfi</v>
      </c>
      <c r="N499" s="19" t="str">
        <f t="shared" si="63"/>
        <v>Cəmalə Cabbarov 22388</v>
      </c>
    </row>
    <row r="500" spans="1:14" ht="14.25" customHeight="1" x14ac:dyDescent="0.25">
      <c r="A500" s="12" t="s">
        <v>540</v>
      </c>
      <c r="B500" s="12" t="s">
        <v>27</v>
      </c>
      <c r="C500" s="14">
        <v>24338</v>
      </c>
      <c r="D500" s="17">
        <f t="shared" si="57"/>
        <v>1966</v>
      </c>
      <c r="E500" s="16">
        <f t="shared" si="56"/>
        <v>59</v>
      </c>
      <c r="F500" s="12" t="str">
        <f t="shared" si="58"/>
        <v>40=&lt;60</v>
      </c>
      <c r="G500" s="12" t="s">
        <v>66</v>
      </c>
      <c r="H500" s="13">
        <v>2360.09</v>
      </c>
      <c r="I500" s="12" t="str">
        <f t="shared" si="59"/>
        <v>2000=&lt;3000 AZN</v>
      </c>
      <c r="J500" s="13">
        <v>1448.98</v>
      </c>
      <c r="K500" s="12" t="str">
        <f t="shared" si="60"/>
        <v>1000=&lt;2000 AZN</v>
      </c>
      <c r="L500" s="13">
        <f t="shared" si="61"/>
        <v>911.11000000000013</v>
      </c>
      <c r="M500" s="52" t="str">
        <f t="shared" si="62"/>
        <v>musbet</v>
      </c>
      <c r="N500" s="19" t="str">
        <f t="shared" si="63"/>
        <v>İradə Vurğun 24338</v>
      </c>
    </row>
    <row r="501" spans="1:14" ht="14.25" customHeight="1" x14ac:dyDescent="0.25">
      <c r="A501" s="12" t="s">
        <v>541</v>
      </c>
      <c r="B501" s="12" t="s">
        <v>44</v>
      </c>
      <c r="C501" s="14">
        <v>28716</v>
      </c>
      <c r="D501" s="17">
        <f t="shared" si="57"/>
        <v>1978</v>
      </c>
      <c r="E501" s="16">
        <f t="shared" si="56"/>
        <v>47</v>
      </c>
      <c r="F501" s="12" t="str">
        <f t="shared" si="58"/>
        <v>40=&lt;60</v>
      </c>
      <c r="G501" s="12" t="s">
        <v>40</v>
      </c>
      <c r="H501" s="13">
        <v>3999.67</v>
      </c>
      <c r="I501" s="12" t="str">
        <f t="shared" si="59"/>
        <v>3000=&lt;4000 AZN</v>
      </c>
      <c r="J501" s="13">
        <v>1514.38</v>
      </c>
      <c r="K501" s="12" t="str">
        <f t="shared" si="60"/>
        <v>1000=&lt;2000 AZN</v>
      </c>
      <c r="L501" s="13">
        <f t="shared" si="61"/>
        <v>2485.29</v>
      </c>
      <c r="M501" s="52" t="str">
        <f t="shared" si="62"/>
        <v>musbet</v>
      </c>
      <c r="N501" s="19" t="str">
        <f t="shared" si="63"/>
        <v>Nürəddin Təhmin 28716</v>
      </c>
    </row>
    <row r="502" spans="1:14" ht="14.25" customHeight="1" x14ac:dyDescent="0.25">
      <c r="A502" s="12" t="s">
        <v>542</v>
      </c>
      <c r="B502" s="12" t="s">
        <v>65</v>
      </c>
      <c r="C502" s="14">
        <v>37181</v>
      </c>
      <c r="D502" s="17">
        <f t="shared" si="57"/>
        <v>2001</v>
      </c>
      <c r="E502" s="16">
        <f t="shared" si="56"/>
        <v>24</v>
      </c>
      <c r="F502" s="12" t="str">
        <f t="shared" si="58"/>
        <v>20=&lt;30</v>
      </c>
      <c r="G502" s="12" t="s">
        <v>51</v>
      </c>
      <c r="H502" s="13">
        <v>1558.35</v>
      </c>
      <c r="I502" s="12" t="str">
        <f t="shared" si="59"/>
        <v>1000=&lt;2000 AZN</v>
      </c>
      <c r="J502" s="13">
        <v>725.46</v>
      </c>
      <c r="K502" s="12" t="str">
        <f t="shared" si="60"/>
        <v>&lt;1000 AZN</v>
      </c>
      <c r="L502" s="13">
        <f t="shared" si="61"/>
        <v>832.88999999999987</v>
      </c>
      <c r="M502" s="52" t="str">
        <f t="shared" si="62"/>
        <v>musbet</v>
      </c>
      <c r="N502" s="19" t="str">
        <f t="shared" si="63"/>
        <v>Nüşabə Cabbarov 37181</v>
      </c>
    </row>
    <row r="503" spans="1:14" ht="14.25" customHeight="1" x14ac:dyDescent="0.25">
      <c r="A503" s="12" t="s">
        <v>543</v>
      </c>
      <c r="B503" s="12" t="s">
        <v>27</v>
      </c>
      <c r="C503" s="14">
        <v>22074</v>
      </c>
      <c r="D503" s="17">
        <f t="shared" si="57"/>
        <v>1960</v>
      </c>
      <c r="E503" s="16">
        <f t="shared" si="56"/>
        <v>65</v>
      </c>
      <c r="F503" s="12" t="str">
        <f t="shared" si="58"/>
        <v>60=&lt;</v>
      </c>
      <c r="G503" s="12" t="s">
        <v>60</v>
      </c>
      <c r="H503" s="13">
        <v>3121</v>
      </c>
      <c r="I503" s="12" t="str">
        <f t="shared" si="59"/>
        <v>3000=&lt;4000 AZN</v>
      </c>
      <c r="J503" s="13">
        <v>576.44000000000005</v>
      </c>
      <c r="K503" s="12" t="str">
        <f t="shared" si="60"/>
        <v>&lt;1000 AZN</v>
      </c>
      <c r="L503" s="13">
        <f t="shared" si="61"/>
        <v>2544.56</v>
      </c>
      <c r="M503" s="52" t="str">
        <f t="shared" si="62"/>
        <v>musbet</v>
      </c>
      <c r="N503" s="19" t="str">
        <f t="shared" si="63"/>
        <v>Pəri Vurğun 22074</v>
      </c>
    </row>
    <row r="504" spans="1:14" ht="14.25" customHeight="1" x14ac:dyDescent="0.25">
      <c r="A504" s="12" t="s">
        <v>544</v>
      </c>
      <c r="B504" s="12" t="s">
        <v>39</v>
      </c>
      <c r="C504" s="14">
        <v>37512</v>
      </c>
      <c r="D504" s="17">
        <f t="shared" si="57"/>
        <v>2002</v>
      </c>
      <c r="E504" s="16">
        <f t="shared" si="56"/>
        <v>23</v>
      </c>
      <c r="F504" s="12" t="str">
        <f t="shared" si="58"/>
        <v>20=&lt;30</v>
      </c>
      <c r="G504" s="12" t="s">
        <v>58</v>
      </c>
      <c r="H504" s="13">
        <v>1086.24</v>
      </c>
      <c r="I504" s="12" t="str">
        <f t="shared" si="59"/>
        <v>1000=&lt;2000 AZN</v>
      </c>
      <c r="J504" s="13">
        <v>4150.95</v>
      </c>
      <c r="K504" s="12" t="str">
        <f t="shared" si="60"/>
        <v>4000=&lt;5000 AZN</v>
      </c>
      <c r="L504" s="13">
        <f t="shared" si="61"/>
        <v>-3064.71</v>
      </c>
      <c r="M504" s="52" t="str">
        <f t="shared" si="62"/>
        <v>menfi</v>
      </c>
      <c r="N504" s="19" t="str">
        <f t="shared" si="63"/>
        <v>Afil Düzgün 37512</v>
      </c>
    </row>
    <row r="505" spans="1:14" ht="14.25" customHeight="1" x14ac:dyDescent="0.25">
      <c r="A505" s="12" t="s">
        <v>545</v>
      </c>
      <c r="B505" s="12" t="s">
        <v>28</v>
      </c>
      <c r="C505" s="14">
        <v>33614</v>
      </c>
      <c r="D505" s="17">
        <f t="shared" si="57"/>
        <v>1992</v>
      </c>
      <c r="E505" s="16">
        <f t="shared" si="56"/>
        <v>33</v>
      </c>
      <c r="F505" s="12" t="str">
        <f t="shared" si="58"/>
        <v>30=&lt;40</v>
      </c>
      <c r="G505" s="12" t="s">
        <v>49</v>
      </c>
      <c r="H505" s="13">
        <v>4610.17</v>
      </c>
      <c r="I505" s="12" t="str">
        <f t="shared" si="59"/>
        <v>4000=&lt;5000 AZN</v>
      </c>
      <c r="J505" s="13">
        <v>4834.26</v>
      </c>
      <c r="K505" s="12" t="str">
        <f t="shared" si="60"/>
        <v>4000=&lt;5000 AZN</v>
      </c>
      <c r="L505" s="13">
        <f t="shared" si="61"/>
        <v>-224.09000000000015</v>
      </c>
      <c r="M505" s="52" t="str">
        <f t="shared" si="62"/>
        <v>menfi</v>
      </c>
      <c r="N505" s="19" t="str">
        <f t="shared" si="63"/>
        <v>Əhliman Mirzəyev 33614</v>
      </c>
    </row>
    <row r="506" spans="1:14" ht="14.25" customHeight="1" x14ac:dyDescent="0.25">
      <c r="A506" s="12" t="s">
        <v>546</v>
      </c>
      <c r="B506" s="12" t="s">
        <v>48</v>
      </c>
      <c r="C506" s="14">
        <v>23987</v>
      </c>
      <c r="D506" s="17">
        <f t="shared" si="57"/>
        <v>1965</v>
      </c>
      <c r="E506" s="16">
        <f t="shared" si="56"/>
        <v>60</v>
      </c>
      <c r="F506" s="12" t="str">
        <f t="shared" si="58"/>
        <v>60=&lt;</v>
      </c>
      <c r="G506" s="12" t="s">
        <v>42</v>
      </c>
      <c r="H506" s="13">
        <v>745.35</v>
      </c>
      <c r="I506" s="12" t="str">
        <f t="shared" si="59"/>
        <v>&lt;1000 AZN</v>
      </c>
      <c r="J506" s="13">
        <v>1534.18</v>
      </c>
      <c r="K506" s="12" t="str">
        <f t="shared" si="60"/>
        <v>1000=&lt;2000 AZN</v>
      </c>
      <c r="L506" s="13">
        <f t="shared" si="61"/>
        <v>-788.83</v>
      </c>
      <c r="M506" s="52" t="str">
        <f t="shared" si="62"/>
        <v>menfi</v>
      </c>
      <c r="N506" s="19" t="str">
        <f t="shared" si="63"/>
        <v>Kazım Abbasbəyli 23987</v>
      </c>
    </row>
    <row r="507" spans="1:14" ht="14.25" customHeight="1" x14ac:dyDescent="0.25">
      <c r="A507" s="12" t="s">
        <v>547</v>
      </c>
      <c r="B507" s="12" t="s">
        <v>44</v>
      </c>
      <c r="C507" s="14">
        <v>27166</v>
      </c>
      <c r="D507" s="17">
        <f t="shared" si="57"/>
        <v>1974</v>
      </c>
      <c r="E507" s="16">
        <f t="shared" si="56"/>
        <v>51</v>
      </c>
      <c r="F507" s="12" t="str">
        <f t="shared" si="58"/>
        <v>40=&lt;60</v>
      </c>
      <c r="G507" s="12" t="s">
        <v>63</v>
      </c>
      <c r="H507" s="13">
        <v>2484.7199999999998</v>
      </c>
      <c r="I507" s="12" t="str">
        <f t="shared" si="59"/>
        <v>2000=&lt;3000 AZN</v>
      </c>
      <c r="J507" s="13">
        <v>726.57</v>
      </c>
      <c r="K507" s="12" t="str">
        <f t="shared" si="60"/>
        <v>&lt;1000 AZN</v>
      </c>
      <c r="L507" s="13">
        <f t="shared" si="61"/>
        <v>1758.1499999999996</v>
      </c>
      <c r="M507" s="52" t="str">
        <f t="shared" si="62"/>
        <v>musbet</v>
      </c>
      <c r="N507" s="19" t="str">
        <f t="shared" si="63"/>
        <v>Anar Təhmin 27166</v>
      </c>
    </row>
    <row r="508" spans="1:14" ht="14.25" customHeight="1" x14ac:dyDescent="0.25">
      <c r="A508" s="12" t="s">
        <v>548</v>
      </c>
      <c r="B508" s="12" t="s">
        <v>48</v>
      </c>
      <c r="C508" s="14">
        <v>35805</v>
      </c>
      <c r="D508" s="17">
        <f t="shared" si="57"/>
        <v>1998</v>
      </c>
      <c r="E508" s="16">
        <f t="shared" si="56"/>
        <v>27</v>
      </c>
      <c r="F508" s="12" t="str">
        <f t="shared" si="58"/>
        <v>20=&lt;30</v>
      </c>
      <c r="G508" s="12" t="s">
        <v>42</v>
      </c>
      <c r="H508" s="13">
        <v>4842</v>
      </c>
      <c r="I508" s="12" t="str">
        <f t="shared" si="59"/>
        <v>4000=&lt;5000 AZN</v>
      </c>
      <c r="J508" s="13">
        <v>4622.87</v>
      </c>
      <c r="K508" s="12" t="str">
        <f t="shared" si="60"/>
        <v>4000=&lt;5000 AZN</v>
      </c>
      <c r="L508" s="13">
        <f t="shared" si="61"/>
        <v>219.13000000000011</v>
      </c>
      <c r="M508" s="52" t="str">
        <f t="shared" si="62"/>
        <v>musbet</v>
      </c>
      <c r="N508" s="19" t="str">
        <f t="shared" si="63"/>
        <v>Balaxanım Abbasbəyli 35805</v>
      </c>
    </row>
    <row r="509" spans="1:14" ht="14.25" customHeight="1" x14ac:dyDescent="0.25">
      <c r="A509" s="12" t="s">
        <v>549</v>
      </c>
      <c r="B509" s="12" t="s">
        <v>48</v>
      </c>
      <c r="C509" s="14">
        <v>27931</v>
      </c>
      <c r="D509" s="17">
        <f t="shared" si="57"/>
        <v>1976</v>
      </c>
      <c r="E509" s="16">
        <f t="shared" si="56"/>
        <v>49</v>
      </c>
      <c r="F509" s="12" t="str">
        <f t="shared" si="58"/>
        <v>40=&lt;60</v>
      </c>
      <c r="G509" s="12" t="s">
        <v>45</v>
      </c>
      <c r="H509" s="13">
        <v>3563.49</v>
      </c>
      <c r="I509" s="12" t="str">
        <f t="shared" si="59"/>
        <v>3000=&lt;4000 AZN</v>
      </c>
      <c r="J509" s="13">
        <v>4865.47</v>
      </c>
      <c r="K509" s="12" t="str">
        <f t="shared" si="60"/>
        <v>4000=&lt;5000 AZN</v>
      </c>
      <c r="L509" s="13">
        <f t="shared" si="61"/>
        <v>-1301.9800000000005</v>
      </c>
      <c r="M509" s="52" t="str">
        <f t="shared" si="62"/>
        <v>menfi</v>
      </c>
      <c r="N509" s="19" t="str">
        <f t="shared" si="63"/>
        <v>Əntiqə Abbasbəyli 27931</v>
      </c>
    </row>
    <row r="510" spans="1:14" ht="14.25" customHeight="1" x14ac:dyDescent="0.25">
      <c r="A510" s="12" t="s">
        <v>550</v>
      </c>
      <c r="B510" s="12" t="s">
        <v>27</v>
      </c>
      <c r="C510" s="14">
        <v>35224</v>
      </c>
      <c r="D510" s="17">
        <f t="shared" si="57"/>
        <v>1996</v>
      </c>
      <c r="E510" s="16">
        <f t="shared" si="56"/>
        <v>29</v>
      </c>
      <c r="F510" s="12" t="str">
        <f t="shared" si="58"/>
        <v>20=&lt;30</v>
      </c>
      <c r="G510" s="12" t="s">
        <v>49</v>
      </c>
      <c r="H510" s="13">
        <v>4420.67</v>
      </c>
      <c r="I510" s="12" t="str">
        <f t="shared" si="59"/>
        <v>4000=&lt;5000 AZN</v>
      </c>
      <c r="J510" s="13">
        <v>1903.85</v>
      </c>
      <c r="K510" s="12" t="str">
        <f t="shared" si="60"/>
        <v>1000=&lt;2000 AZN</v>
      </c>
      <c r="L510" s="13">
        <f t="shared" si="61"/>
        <v>2516.8200000000002</v>
      </c>
      <c r="M510" s="52" t="str">
        <f t="shared" si="62"/>
        <v>musbet</v>
      </c>
      <c r="N510" s="19" t="str">
        <f t="shared" si="63"/>
        <v>Nərmin Vurğun 35224</v>
      </c>
    </row>
    <row r="511" spans="1:14" ht="14.25" customHeight="1" x14ac:dyDescent="0.25">
      <c r="A511" s="12" t="s">
        <v>551</v>
      </c>
      <c r="B511" s="12" t="s">
        <v>28</v>
      </c>
      <c r="C511" s="14">
        <v>31199</v>
      </c>
      <c r="D511" s="17">
        <f t="shared" si="57"/>
        <v>1985</v>
      </c>
      <c r="E511" s="16">
        <f t="shared" si="56"/>
        <v>40</v>
      </c>
      <c r="F511" s="12" t="str">
        <f t="shared" si="58"/>
        <v>40=&lt;60</v>
      </c>
      <c r="G511" s="12" t="s">
        <v>53</v>
      </c>
      <c r="H511" s="13">
        <v>3445.81</v>
      </c>
      <c r="I511" s="12" t="str">
        <f t="shared" si="59"/>
        <v>3000=&lt;4000 AZN</v>
      </c>
      <c r="J511" s="13">
        <v>2907.99</v>
      </c>
      <c r="K511" s="12" t="str">
        <f t="shared" si="60"/>
        <v>2000=&lt;3000 AZN</v>
      </c>
      <c r="L511" s="13">
        <f t="shared" si="61"/>
        <v>537.82000000000016</v>
      </c>
      <c r="M511" s="52" t="str">
        <f t="shared" si="62"/>
        <v>musbet</v>
      </c>
      <c r="N511" s="19" t="str">
        <f t="shared" si="63"/>
        <v>Seyfulla Mirzəyev 31199</v>
      </c>
    </row>
    <row r="512" spans="1:14" ht="14.25" customHeight="1" x14ac:dyDescent="0.25">
      <c r="A512" s="12" t="s">
        <v>552</v>
      </c>
      <c r="B512" s="12" t="s">
        <v>48</v>
      </c>
      <c r="C512" s="14">
        <v>34102</v>
      </c>
      <c r="D512" s="17">
        <f t="shared" si="57"/>
        <v>1993</v>
      </c>
      <c r="E512" s="16">
        <f t="shared" si="56"/>
        <v>32</v>
      </c>
      <c r="F512" s="12" t="str">
        <f t="shared" si="58"/>
        <v>30=&lt;40</v>
      </c>
      <c r="G512" s="12" t="s">
        <v>42</v>
      </c>
      <c r="H512" s="13">
        <v>4835.2299999999996</v>
      </c>
      <c r="I512" s="12" t="str">
        <f t="shared" si="59"/>
        <v>4000=&lt;5000 AZN</v>
      </c>
      <c r="J512" s="13">
        <v>2477.06</v>
      </c>
      <c r="K512" s="12" t="str">
        <f t="shared" si="60"/>
        <v>2000=&lt;3000 AZN</v>
      </c>
      <c r="L512" s="13">
        <f t="shared" si="61"/>
        <v>2358.1699999999996</v>
      </c>
      <c r="M512" s="52" t="str">
        <f t="shared" si="62"/>
        <v>musbet</v>
      </c>
      <c r="N512" s="19" t="str">
        <f t="shared" si="63"/>
        <v>Sərəncam Abbasbəyli 34102</v>
      </c>
    </row>
    <row r="513" spans="1:14" ht="14.25" customHeight="1" x14ac:dyDescent="0.25">
      <c r="A513" s="12" t="s">
        <v>553</v>
      </c>
      <c r="B513" s="12" t="s">
        <v>65</v>
      </c>
      <c r="C513" s="14">
        <v>33245</v>
      </c>
      <c r="D513" s="17">
        <f t="shared" si="57"/>
        <v>1991</v>
      </c>
      <c r="E513" s="16">
        <f t="shared" si="56"/>
        <v>34</v>
      </c>
      <c r="F513" s="12" t="str">
        <f t="shared" si="58"/>
        <v>30=&lt;40</v>
      </c>
      <c r="G513" s="12" t="s">
        <v>42</v>
      </c>
      <c r="H513" s="13">
        <v>2412.46</v>
      </c>
      <c r="I513" s="12" t="str">
        <f t="shared" si="59"/>
        <v>2000=&lt;3000 AZN</v>
      </c>
      <c r="J513" s="13">
        <v>1330.99</v>
      </c>
      <c r="K513" s="12" t="str">
        <f t="shared" si="60"/>
        <v>1000=&lt;2000 AZN</v>
      </c>
      <c r="L513" s="13">
        <f t="shared" si="61"/>
        <v>1081.47</v>
      </c>
      <c r="M513" s="52" t="str">
        <f t="shared" si="62"/>
        <v>musbet</v>
      </c>
      <c r="N513" s="19" t="str">
        <f t="shared" si="63"/>
        <v>Ələsgər Cabbarov 33245</v>
      </c>
    </row>
    <row r="514" spans="1:14" ht="14.25" customHeight="1" x14ac:dyDescent="0.25">
      <c r="A514" s="12" t="s">
        <v>554</v>
      </c>
      <c r="B514" s="12" t="s">
        <v>30</v>
      </c>
      <c r="C514" s="14">
        <v>32004</v>
      </c>
      <c r="D514" s="17">
        <f t="shared" si="57"/>
        <v>1987</v>
      </c>
      <c r="E514" s="16">
        <f t="shared" ref="E514:E577" si="64">2025-D514</f>
        <v>38</v>
      </c>
      <c r="F514" s="12" t="str">
        <f t="shared" si="58"/>
        <v>30=&lt;40</v>
      </c>
      <c r="G514" s="12" t="s">
        <v>63</v>
      </c>
      <c r="H514" s="13">
        <v>2427.71</v>
      </c>
      <c r="I514" s="12" t="str">
        <f t="shared" si="59"/>
        <v>2000=&lt;3000 AZN</v>
      </c>
      <c r="J514" s="13">
        <v>4880.57</v>
      </c>
      <c r="K514" s="12" t="str">
        <f t="shared" si="60"/>
        <v>4000=&lt;5000 AZN</v>
      </c>
      <c r="L514" s="13">
        <f t="shared" si="61"/>
        <v>-2452.8599999999997</v>
      </c>
      <c r="M514" s="52" t="str">
        <f t="shared" si="62"/>
        <v>menfi</v>
      </c>
      <c r="N514" s="19" t="str">
        <f t="shared" si="63"/>
        <v>Sabirə Bəktaşi 32004</v>
      </c>
    </row>
    <row r="515" spans="1:14" ht="14.25" customHeight="1" x14ac:dyDescent="0.25">
      <c r="A515" s="12" t="s">
        <v>555</v>
      </c>
      <c r="B515" s="12" t="s">
        <v>39</v>
      </c>
      <c r="C515" s="14">
        <v>27555</v>
      </c>
      <c r="D515" s="17">
        <f t="shared" ref="D515:D578" si="65">YEAR(C515)</f>
        <v>1975</v>
      </c>
      <c r="E515" s="16">
        <f t="shared" si="64"/>
        <v>50</v>
      </c>
      <c r="F515" s="12" t="str">
        <f t="shared" ref="F515:F578" si="66">IF(AND(E515&gt;=0,E515&lt;20),"0=&lt;20",IF(AND(E515&gt;=20,E515&lt;30),"20=&lt;30",IF(AND(E515&gt;=30,E515&lt;40),"30=&lt;40",IF(AND(E515&gt;=40,E515&lt;60),"40=&lt;60",IF(AND(E515&gt;=60),"60=&lt;")))))</f>
        <v>40=&lt;60</v>
      </c>
      <c r="G515" s="12" t="s">
        <v>45</v>
      </c>
      <c r="H515" s="13">
        <v>1077.22</v>
      </c>
      <c r="I515" s="12" t="str">
        <f t="shared" ref="I515:I578" si="67">IF(AND(H515&lt;1000),"&lt;1000 AZN",IF(AND(H515&gt;=1000,H515&lt;2000),"1000=&lt;2000 AZN",IF(AND(H515&gt;=2000,H515&lt;3000),"2000=&lt;3000 AZN",IF(AND(H515&gt;=3000,H515&lt;4000),"3000=&lt;4000 AZN",IF(AND(H515&gt;=4000,H515&lt;5000),"4000=&lt;5000 AZN",IF(AND(H515&gt;=5000,),"5000=&lt;  AZN"))))))</f>
        <v>1000=&lt;2000 AZN</v>
      </c>
      <c r="J515" s="13">
        <v>3539.89</v>
      </c>
      <c r="K515" s="12" t="str">
        <f t="shared" ref="K515:K578" si="68">IF(AND(J515&lt;1000),"&lt;1000 AZN",IF(AND(J515&gt;=1000,J515&lt;2000),"1000=&lt;2000 AZN",IF(AND(J515&gt;=2000,J515&lt;3000),"2000=&lt;3000 AZN",IF(AND(J515&gt;=3000,J515&lt;4000),"3000=&lt;4000 AZN",IF(AND(J515&gt;=4000,J515&lt;5000),"4000=&lt;5000 AZN",IF(AND(J515&gt;=5000,),"5000=&lt;  AZN"))))))</f>
        <v>3000=&lt;4000 AZN</v>
      </c>
      <c r="L515" s="13">
        <f t="shared" ref="L515:L578" si="69">H515-J515</f>
        <v>-2462.67</v>
      </c>
      <c r="M515" s="52" t="str">
        <f t="shared" ref="M515:M578" si="70">IF(L515&lt;0,"menfi","musbet")</f>
        <v>menfi</v>
      </c>
      <c r="N515" s="19" t="str">
        <f t="shared" ref="N515:N578" si="71">_xlfn.CONCAT(A515," ",B515," ",C515)</f>
        <v>Gülağa Düzgün 27555</v>
      </c>
    </row>
    <row r="516" spans="1:14" ht="14.25" customHeight="1" x14ac:dyDescent="0.25">
      <c r="A516" s="12" t="s">
        <v>556</v>
      </c>
      <c r="B516" s="12" t="s">
        <v>27</v>
      </c>
      <c r="C516" s="14">
        <v>31686</v>
      </c>
      <c r="D516" s="17">
        <f t="shared" si="65"/>
        <v>1986</v>
      </c>
      <c r="E516" s="16">
        <f t="shared" si="64"/>
        <v>39</v>
      </c>
      <c r="F516" s="12" t="str">
        <f t="shared" si="66"/>
        <v>30=&lt;40</v>
      </c>
      <c r="G516" s="12" t="s">
        <v>63</v>
      </c>
      <c r="H516" s="13">
        <v>3646.74</v>
      </c>
      <c r="I516" s="12" t="str">
        <f t="shared" si="67"/>
        <v>3000=&lt;4000 AZN</v>
      </c>
      <c r="J516" s="13">
        <v>4139.7299999999996</v>
      </c>
      <c r="K516" s="12" t="str">
        <f t="shared" si="68"/>
        <v>4000=&lt;5000 AZN</v>
      </c>
      <c r="L516" s="13">
        <f t="shared" si="69"/>
        <v>-492.98999999999978</v>
      </c>
      <c r="M516" s="52" t="str">
        <f t="shared" si="70"/>
        <v>menfi</v>
      </c>
      <c r="N516" s="19" t="str">
        <f t="shared" si="71"/>
        <v>Məhru Vurğun 31686</v>
      </c>
    </row>
    <row r="517" spans="1:14" ht="14.25" customHeight="1" x14ac:dyDescent="0.25">
      <c r="A517" s="12" t="s">
        <v>557</v>
      </c>
      <c r="B517" s="12" t="s">
        <v>30</v>
      </c>
      <c r="C517" s="14">
        <v>35352</v>
      </c>
      <c r="D517" s="17">
        <f t="shared" si="65"/>
        <v>1996</v>
      </c>
      <c r="E517" s="16">
        <f t="shared" si="64"/>
        <v>29</v>
      </c>
      <c r="F517" s="12" t="str">
        <f t="shared" si="66"/>
        <v>20=&lt;30</v>
      </c>
      <c r="G517" s="12" t="s">
        <v>58</v>
      </c>
      <c r="H517" s="13">
        <v>4694.5200000000004</v>
      </c>
      <c r="I517" s="12" t="str">
        <f t="shared" si="67"/>
        <v>4000=&lt;5000 AZN</v>
      </c>
      <c r="J517" s="13">
        <v>2625.2</v>
      </c>
      <c r="K517" s="12" t="str">
        <f t="shared" si="68"/>
        <v>2000=&lt;3000 AZN</v>
      </c>
      <c r="L517" s="13">
        <f t="shared" si="69"/>
        <v>2069.3200000000006</v>
      </c>
      <c r="M517" s="52" t="str">
        <f t="shared" si="70"/>
        <v>musbet</v>
      </c>
      <c r="N517" s="19" t="str">
        <f t="shared" si="71"/>
        <v>Gülnarə Bəktaşi 35352</v>
      </c>
    </row>
    <row r="518" spans="1:14" ht="14.25" customHeight="1" x14ac:dyDescent="0.25">
      <c r="A518" s="12" t="s">
        <v>558</v>
      </c>
      <c r="B518" s="12" t="s">
        <v>27</v>
      </c>
      <c r="C518" s="14">
        <v>35723</v>
      </c>
      <c r="D518" s="17">
        <f t="shared" si="65"/>
        <v>1997</v>
      </c>
      <c r="E518" s="16">
        <f t="shared" si="64"/>
        <v>28</v>
      </c>
      <c r="F518" s="12" t="str">
        <f t="shared" si="66"/>
        <v>20=&lt;30</v>
      </c>
      <c r="G518" s="12" t="s">
        <v>60</v>
      </c>
      <c r="H518" s="13">
        <v>921.56</v>
      </c>
      <c r="I518" s="12" t="str">
        <f t="shared" si="67"/>
        <v>&lt;1000 AZN</v>
      </c>
      <c r="J518" s="13">
        <v>3263.66</v>
      </c>
      <c r="K518" s="12" t="str">
        <f t="shared" si="68"/>
        <v>3000=&lt;4000 AZN</v>
      </c>
      <c r="L518" s="13">
        <f t="shared" si="69"/>
        <v>-2342.1</v>
      </c>
      <c r="M518" s="52" t="str">
        <f t="shared" si="70"/>
        <v>menfi</v>
      </c>
      <c r="N518" s="19" t="str">
        <f t="shared" si="71"/>
        <v>Rəsmiyyə Vurğun 35723</v>
      </c>
    </row>
    <row r="519" spans="1:14" ht="14.25" customHeight="1" x14ac:dyDescent="0.25">
      <c r="A519" s="12" t="s">
        <v>559</v>
      </c>
      <c r="B519" s="12" t="s">
        <v>39</v>
      </c>
      <c r="C519" s="14">
        <v>28887</v>
      </c>
      <c r="D519" s="17">
        <f t="shared" si="65"/>
        <v>1979</v>
      </c>
      <c r="E519" s="16">
        <f t="shared" si="64"/>
        <v>46</v>
      </c>
      <c r="F519" s="12" t="str">
        <f t="shared" si="66"/>
        <v>40=&lt;60</v>
      </c>
      <c r="G519" s="12" t="s">
        <v>51</v>
      </c>
      <c r="H519" s="13">
        <v>346.45</v>
      </c>
      <c r="I519" s="12" t="str">
        <f t="shared" si="67"/>
        <v>&lt;1000 AZN</v>
      </c>
      <c r="J519" s="13">
        <v>3202.62</v>
      </c>
      <c r="K519" s="12" t="str">
        <f t="shared" si="68"/>
        <v>3000=&lt;4000 AZN</v>
      </c>
      <c r="L519" s="13">
        <f t="shared" si="69"/>
        <v>-2856.17</v>
      </c>
      <c r="M519" s="52" t="str">
        <f t="shared" si="70"/>
        <v>menfi</v>
      </c>
      <c r="N519" s="19" t="str">
        <f t="shared" si="71"/>
        <v>Qədir Düzgün 28887</v>
      </c>
    </row>
    <row r="520" spans="1:14" ht="14.25" customHeight="1" x14ac:dyDescent="0.25">
      <c r="A520" s="12" t="s">
        <v>560</v>
      </c>
      <c r="B520" s="12" t="s">
        <v>48</v>
      </c>
      <c r="C520" s="14">
        <v>27820</v>
      </c>
      <c r="D520" s="17">
        <f t="shared" si="65"/>
        <v>1976</v>
      </c>
      <c r="E520" s="16">
        <f t="shared" si="64"/>
        <v>49</v>
      </c>
      <c r="F520" s="12" t="str">
        <f t="shared" si="66"/>
        <v>40=&lt;60</v>
      </c>
      <c r="G520" s="12" t="s">
        <v>42</v>
      </c>
      <c r="H520" s="13">
        <v>494.31</v>
      </c>
      <c r="I520" s="12" t="str">
        <f t="shared" si="67"/>
        <v>&lt;1000 AZN</v>
      </c>
      <c r="J520" s="13">
        <v>304.63</v>
      </c>
      <c r="K520" s="12" t="str">
        <f t="shared" si="68"/>
        <v>&lt;1000 AZN</v>
      </c>
      <c r="L520" s="13">
        <f t="shared" si="69"/>
        <v>189.68</v>
      </c>
      <c r="M520" s="52" t="str">
        <f t="shared" si="70"/>
        <v>musbet</v>
      </c>
      <c r="N520" s="19" t="str">
        <f t="shared" si="71"/>
        <v>Röya Abbasbəyli 27820</v>
      </c>
    </row>
    <row r="521" spans="1:14" ht="14.25" customHeight="1" x14ac:dyDescent="0.25">
      <c r="A521" s="12" t="s">
        <v>561</v>
      </c>
      <c r="B521" s="12" t="s">
        <v>30</v>
      </c>
      <c r="C521" s="14">
        <v>32284</v>
      </c>
      <c r="D521" s="17">
        <f t="shared" si="65"/>
        <v>1988</v>
      </c>
      <c r="E521" s="16">
        <f t="shared" si="64"/>
        <v>37</v>
      </c>
      <c r="F521" s="12" t="str">
        <f t="shared" si="66"/>
        <v>30=&lt;40</v>
      </c>
      <c r="G521" s="12" t="s">
        <v>53</v>
      </c>
      <c r="H521" s="13">
        <v>2629.26</v>
      </c>
      <c r="I521" s="12" t="str">
        <f t="shared" si="67"/>
        <v>2000=&lt;3000 AZN</v>
      </c>
      <c r="J521" s="13">
        <v>602.6</v>
      </c>
      <c r="K521" s="12" t="str">
        <f t="shared" si="68"/>
        <v>&lt;1000 AZN</v>
      </c>
      <c r="L521" s="13">
        <f t="shared" si="69"/>
        <v>2026.6600000000003</v>
      </c>
      <c r="M521" s="52" t="str">
        <f t="shared" si="70"/>
        <v>musbet</v>
      </c>
      <c r="N521" s="19" t="str">
        <f t="shared" si="71"/>
        <v>Leyli Bəktaşi 32284</v>
      </c>
    </row>
    <row r="522" spans="1:14" ht="14.25" customHeight="1" x14ac:dyDescent="0.25">
      <c r="A522" s="12" t="s">
        <v>562</v>
      </c>
      <c r="B522" s="12" t="s">
        <v>26</v>
      </c>
      <c r="C522" s="14">
        <v>23655</v>
      </c>
      <c r="D522" s="17">
        <f t="shared" si="65"/>
        <v>1964</v>
      </c>
      <c r="E522" s="16">
        <f t="shared" si="64"/>
        <v>61</v>
      </c>
      <c r="F522" s="12" t="str">
        <f t="shared" si="66"/>
        <v>60=&lt;</v>
      </c>
      <c r="G522" s="12" t="s">
        <v>40</v>
      </c>
      <c r="H522" s="13">
        <v>1474.93</v>
      </c>
      <c r="I522" s="12" t="str">
        <f t="shared" si="67"/>
        <v>1000=&lt;2000 AZN</v>
      </c>
      <c r="J522" s="13">
        <v>3017.15</v>
      </c>
      <c r="K522" s="12" t="str">
        <f t="shared" si="68"/>
        <v>3000=&lt;4000 AZN</v>
      </c>
      <c r="L522" s="13">
        <f t="shared" si="69"/>
        <v>-1542.22</v>
      </c>
      <c r="M522" s="52" t="str">
        <f t="shared" si="70"/>
        <v>menfi</v>
      </c>
      <c r="N522" s="19" t="str">
        <f t="shared" si="71"/>
        <v>Vasif Həsənli 23655</v>
      </c>
    </row>
    <row r="523" spans="1:14" ht="14.25" customHeight="1" x14ac:dyDescent="0.25">
      <c r="A523" s="12" t="s">
        <v>563</v>
      </c>
      <c r="B523" s="12" t="s">
        <v>39</v>
      </c>
      <c r="C523" s="14">
        <v>28868</v>
      </c>
      <c r="D523" s="17">
        <f t="shared" si="65"/>
        <v>1979</v>
      </c>
      <c r="E523" s="16">
        <f t="shared" si="64"/>
        <v>46</v>
      </c>
      <c r="F523" s="12" t="str">
        <f t="shared" si="66"/>
        <v>40=&lt;60</v>
      </c>
      <c r="G523" s="12" t="s">
        <v>45</v>
      </c>
      <c r="H523" s="13">
        <v>1479.68</v>
      </c>
      <c r="I523" s="12" t="str">
        <f t="shared" si="67"/>
        <v>1000=&lt;2000 AZN</v>
      </c>
      <c r="J523" s="13">
        <v>2018.19</v>
      </c>
      <c r="K523" s="12" t="str">
        <f t="shared" si="68"/>
        <v>2000=&lt;3000 AZN</v>
      </c>
      <c r="L523" s="13">
        <f t="shared" si="69"/>
        <v>-538.51</v>
      </c>
      <c r="M523" s="52" t="str">
        <f t="shared" si="70"/>
        <v>menfi</v>
      </c>
      <c r="N523" s="19" t="str">
        <f t="shared" si="71"/>
        <v>Xəlil Düzgün 28868</v>
      </c>
    </row>
    <row r="524" spans="1:14" ht="14.25" customHeight="1" x14ac:dyDescent="0.25">
      <c r="A524" s="12" t="s">
        <v>564</v>
      </c>
      <c r="B524" s="12" t="s">
        <v>26</v>
      </c>
      <c r="C524" s="14">
        <v>30210</v>
      </c>
      <c r="D524" s="17">
        <f t="shared" si="65"/>
        <v>1982</v>
      </c>
      <c r="E524" s="16">
        <f t="shared" si="64"/>
        <v>43</v>
      </c>
      <c r="F524" s="12" t="str">
        <f t="shared" si="66"/>
        <v>40=&lt;60</v>
      </c>
      <c r="G524" s="12" t="s">
        <v>63</v>
      </c>
      <c r="H524" s="13">
        <v>2107.88</v>
      </c>
      <c r="I524" s="12" t="str">
        <f t="shared" si="67"/>
        <v>2000=&lt;3000 AZN</v>
      </c>
      <c r="J524" s="13">
        <v>2838.64</v>
      </c>
      <c r="K524" s="12" t="str">
        <f t="shared" si="68"/>
        <v>2000=&lt;3000 AZN</v>
      </c>
      <c r="L524" s="13">
        <f t="shared" si="69"/>
        <v>-730.75999999999976</v>
      </c>
      <c r="M524" s="52" t="str">
        <f t="shared" si="70"/>
        <v>menfi</v>
      </c>
      <c r="N524" s="19" t="str">
        <f t="shared" si="71"/>
        <v>İsmət Həsənli 30210</v>
      </c>
    </row>
    <row r="525" spans="1:14" ht="14.25" customHeight="1" x14ac:dyDescent="0.25">
      <c r="A525" s="12" t="s">
        <v>565</v>
      </c>
      <c r="B525" s="12" t="s">
        <v>29</v>
      </c>
      <c r="C525" s="14">
        <v>23138</v>
      </c>
      <c r="D525" s="17">
        <f t="shared" si="65"/>
        <v>1963</v>
      </c>
      <c r="E525" s="16">
        <f t="shared" si="64"/>
        <v>62</v>
      </c>
      <c r="F525" s="12" t="str">
        <f t="shared" si="66"/>
        <v>60=&lt;</v>
      </c>
      <c r="G525" s="12" t="s">
        <v>51</v>
      </c>
      <c r="H525" s="13">
        <v>1274.0999999999999</v>
      </c>
      <c r="I525" s="12" t="str">
        <f t="shared" si="67"/>
        <v>1000=&lt;2000 AZN</v>
      </c>
      <c r="J525" s="13">
        <v>1332.54</v>
      </c>
      <c r="K525" s="12" t="str">
        <f t="shared" si="68"/>
        <v>1000=&lt;2000 AZN</v>
      </c>
      <c r="L525" s="13">
        <f t="shared" si="69"/>
        <v>-58.440000000000055</v>
      </c>
      <c r="M525" s="52" t="str">
        <f t="shared" si="70"/>
        <v>menfi</v>
      </c>
      <c r="N525" s="19" t="str">
        <f t="shared" si="71"/>
        <v>Ülfət Bayramov 23138</v>
      </c>
    </row>
    <row r="526" spans="1:14" ht="14.25" customHeight="1" x14ac:dyDescent="0.25">
      <c r="A526" s="12" t="s">
        <v>566</v>
      </c>
      <c r="B526" s="12" t="s">
        <v>30</v>
      </c>
      <c r="C526" s="14">
        <v>37488</v>
      </c>
      <c r="D526" s="17">
        <f t="shared" si="65"/>
        <v>2002</v>
      </c>
      <c r="E526" s="16">
        <f t="shared" si="64"/>
        <v>23</v>
      </c>
      <c r="F526" s="12" t="str">
        <f t="shared" si="66"/>
        <v>20=&lt;30</v>
      </c>
      <c r="G526" s="12" t="s">
        <v>49</v>
      </c>
      <c r="H526" s="13">
        <v>1866.66</v>
      </c>
      <c r="I526" s="12" t="str">
        <f t="shared" si="67"/>
        <v>1000=&lt;2000 AZN</v>
      </c>
      <c r="J526" s="13">
        <v>2716.89</v>
      </c>
      <c r="K526" s="12" t="str">
        <f t="shared" si="68"/>
        <v>2000=&lt;3000 AZN</v>
      </c>
      <c r="L526" s="13">
        <f t="shared" si="69"/>
        <v>-850.22999999999979</v>
      </c>
      <c r="M526" s="52" t="str">
        <f t="shared" si="70"/>
        <v>menfi</v>
      </c>
      <c r="N526" s="19" t="str">
        <f t="shared" si="71"/>
        <v>Zeynal Bəktaşi 37488</v>
      </c>
    </row>
    <row r="527" spans="1:14" ht="14.25" customHeight="1" x14ac:dyDescent="0.25">
      <c r="A527" s="12" t="s">
        <v>567</v>
      </c>
      <c r="B527" s="12" t="s">
        <v>29</v>
      </c>
      <c r="C527" s="14">
        <v>35870</v>
      </c>
      <c r="D527" s="17">
        <f t="shared" si="65"/>
        <v>1998</v>
      </c>
      <c r="E527" s="16">
        <f t="shared" si="64"/>
        <v>27</v>
      </c>
      <c r="F527" s="12" t="str">
        <f t="shared" si="66"/>
        <v>20=&lt;30</v>
      </c>
      <c r="G527" s="12" t="s">
        <v>45</v>
      </c>
      <c r="H527" s="13">
        <v>1934.43</v>
      </c>
      <c r="I527" s="12" t="str">
        <f t="shared" si="67"/>
        <v>1000=&lt;2000 AZN</v>
      </c>
      <c r="J527" s="13">
        <v>3227.12</v>
      </c>
      <c r="K527" s="12" t="str">
        <f t="shared" si="68"/>
        <v>3000=&lt;4000 AZN</v>
      </c>
      <c r="L527" s="13">
        <f t="shared" si="69"/>
        <v>-1292.6899999999998</v>
      </c>
      <c r="M527" s="52" t="str">
        <f t="shared" si="70"/>
        <v>menfi</v>
      </c>
      <c r="N527" s="19" t="str">
        <f t="shared" si="71"/>
        <v>Fariz Bayramov 35870</v>
      </c>
    </row>
    <row r="528" spans="1:14" ht="14.25" customHeight="1" x14ac:dyDescent="0.25">
      <c r="A528" s="12" t="s">
        <v>568</v>
      </c>
      <c r="B528" s="12" t="s">
        <v>30</v>
      </c>
      <c r="C528" s="14">
        <v>32340</v>
      </c>
      <c r="D528" s="17">
        <f t="shared" si="65"/>
        <v>1988</v>
      </c>
      <c r="E528" s="16">
        <f t="shared" si="64"/>
        <v>37</v>
      </c>
      <c r="F528" s="12" t="str">
        <f t="shared" si="66"/>
        <v>30=&lt;40</v>
      </c>
      <c r="G528" s="12" t="s">
        <v>63</v>
      </c>
      <c r="H528" s="13">
        <v>2505.48</v>
      </c>
      <c r="I528" s="12" t="str">
        <f t="shared" si="67"/>
        <v>2000=&lt;3000 AZN</v>
      </c>
      <c r="J528" s="13">
        <v>1849.3</v>
      </c>
      <c r="K528" s="12" t="str">
        <f t="shared" si="68"/>
        <v>1000=&lt;2000 AZN</v>
      </c>
      <c r="L528" s="13">
        <f t="shared" si="69"/>
        <v>656.18000000000006</v>
      </c>
      <c r="M528" s="52" t="str">
        <f t="shared" si="70"/>
        <v>musbet</v>
      </c>
      <c r="N528" s="19" t="str">
        <f t="shared" si="71"/>
        <v>Ramilə Bəktaşi 32340</v>
      </c>
    </row>
    <row r="529" spans="1:14" ht="14.25" customHeight="1" x14ac:dyDescent="0.25">
      <c r="A529" s="12" t="s">
        <v>569</v>
      </c>
      <c r="B529" s="12" t="s">
        <v>27</v>
      </c>
      <c r="C529" s="14">
        <v>34473</v>
      </c>
      <c r="D529" s="17">
        <f t="shared" si="65"/>
        <v>1994</v>
      </c>
      <c r="E529" s="16">
        <f t="shared" si="64"/>
        <v>31</v>
      </c>
      <c r="F529" s="12" t="str">
        <f t="shared" si="66"/>
        <v>30=&lt;40</v>
      </c>
      <c r="G529" s="12" t="s">
        <v>51</v>
      </c>
      <c r="H529" s="13">
        <v>1756.51</v>
      </c>
      <c r="I529" s="12" t="str">
        <f t="shared" si="67"/>
        <v>1000=&lt;2000 AZN</v>
      </c>
      <c r="J529" s="13">
        <v>1524.14</v>
      </c>
      <c r="K529" s="12" t="str">
        <f t="shared" si="68"/>
        <v>1000=&lt;2000 AZN</v>
      </c>
      <c r="L529" s="13">
        <f t="shared" si="69"/>
        <v>232.36999999999989</v>
      </c>
      <c r="M529" s="52" t="str">
        <f t="shared" si="70"/>
        <v>musbet</v>
      </c>
      <c r="N529" s="19" t="str">
        <f t="shared" si="71"/>
        <v>Hüsniyyə Vurğun 34473</v>
      </c>
    </row>
    <row r="530" spans="1:14" ht="14.25" customHeight="1" x14ac:dyDescent="0.25">
      <c r="A530" s="12" t="s">
        <v>570</v>
      </c>
      <c r="B530" s="12" t="s">
        <v>29</v>
      </c>
      <c r="C530" s="14">
        <v>22551</v>
      </c>
      <c r="D530" s="17">
        <f t="shared" si="65"/>
        <v>1961</v>
      </c>
      <c r="E530" s="16">
        <f t="shared" si="64"/>
        <v>64</v>
      </c>
      <c r="F530" s="12" t="str">
        <f t="shared" si="66"/>
        <v>60=&lt;</v>
      </c>
      <c r="G530" s="12" t="s">
        <v>58</v>
      </c>
      <c r="H530" s="13">
        <v>2299.31</v>
      </c>
      <c r="I530" s="12" t="str">
        <f t="shared" si="67"/>
        <v>2000=&lt;3000 AZN</v>
      </c>
      <c r="J530" s="13">
        <v>3049.72</v>
      </c>
      <c r="K530" s="12" t="str">
        <f t="shared" si="68"/>
        <v>3000=&lt;4000 AZN</v>
      </c>
      <c r="L530" s="13">
        <f t="shared" si="69"/>
        <v>-750.40999999999985</v>
      </c>
      <c r="M530" s="52" t="str">
        <f t="shared" si="70"/>
        <v>menfi</v>
      </c>
      <c r="N530" s="19" t="str">
        <f t="shared" si="71"/>
        <v>Ağaxan Bayramov 22551</v>
      </c>
    </row>
    <row r="531" spans="1:14" ht="14.25" customHeight="1" x14ac:dyDescent="0.25">
      <c r="A531" s="12" t="s">
        <v>571</v>
      </c>
      <c r="B531" s="12" t="s">
        <v>27</v>
      </c>
      <c r="C531" s="14">
        <v>33081</v>
      </c>
      <c r="D531" s="17">
        <f t="shared" si="65"/>
        <v>1990</v>
      </c>
      <c r="E531" s="16">
        <f t="shared" si="64"/>
        <v>35</v>
      </c>
      <c r="F531" s="12" t="str">
        <f t="shared" si="66"/>
        <v>30=&lt;40</v>
      </c>
      <c r="G531" s="12" t="s">
        <v>40</v>
      </c>
      <c r="H531" s="13">
        <v>2943.87</v>
      </c>
      <c r="I531" s="12" t="str">
        <f t="shared" si="67"/>
        <v>2000=&lt;3000 AZN</v>
      </c>
      <c r="J531" s="13">
        <v>808.7</v>
      </c>
      <c r="K531" s="12" t="str">
        <f t="shared" si="68"/>
        <v>&lt;1000 AZN</v>
      </c>
      <c r="L531" s="13">
        <f t="shared" si="69"/>
        <v>2135.17</v>
      </c>
      <c r="M531" s="52" t="str">
        <f t="shared" si="70"/>
        <v>musbet</v>
      </c>
      <c r="N531" s="19" t="str">
        <f t="shared" si="71"/>
        <v>Mədinə Vurğun 33081</v>
      </c>
    </row>
    <row r="532" spans="1:14" ht="14.25" customHeight="1" x14ac:dyDescent="0.25">
      <c r="A532" s="12" t="s">
        <v>572</v>
      </c>
      <c r="B532" s="12" t="s">
        <v>26</v>
      </c>
      <c r="C532" s="14">
        <v>32587</v>
      </c>
      <c r="D532" s="17">
        <f t="shared" si="65"/>
        <v>1989</v>
      </c>
      <c r="E532" s="16">
        <f t="shared" si="64"/>
        <v>36</v>
      </c>
      <c r="F532" s="12" t="str">
        <f t="shared" si="66"/>
        <v>30=&lt;40</v>
      </c>
      <c r="G532" s="12" t="s">
        <v>63</v>
      </c>
      <c r="H532" s="13">
        <v>4368.17</v>
      </c>
      <c r="I532" s="12" t="str">
        <f t="shared" si="67"/>
        <v>4000=&lt;5000 AZN</v>
      </c>
      <c r="J532" s="13">
        <v>4449.38</v>
      </c>
      <c r="K532" s="12" t="str">
        <f t="shared" si="68"/>
        <v>4000=&lt;5000 AZN</v>
      </c>
      <c r="L532" s="13">
        <f t="shared" si="69"/>
        <v>-81.210000000000036</v>
      </c>
      <c r="M532" s="52" t="str">
        <f t="shared" si="70"/>
        <v>menfi</v>
      </c>
      <c r="N532" s="19" t="str">
        <f t="shared" si="71"/>
        <v>Orxan Həsənli 32587</v>
      </c>
    </row>
    <row r="533" spans="1:14" ht="14.25" customHeight="1" x14ac:dyDescent="0.25">
      <c r="A533" s="12" t="s">
        <v>573</v>
      </c>
      <c r="B533" s="12" t="s">
        <v>28</v>
      </c>
      <c r="C533" s="14">
        <v>37609</v>
      </c>
      <c r="D533" s="17">
        <f t="shared" si="65"/>
        <v>2002</v>
      </c>
      <c r="E533" s="16">
        <f t="shared" si="64"/>
        <v>23</v>
      </c>
      <c r="F533" s="12" t="str">
        <f t="shared" si="66"/>
        <v>20=&lt;30</v>
      </c>
      <c r="G533" s="12" t="s">
        <v>63</v>
      </c>
      <c r="H533" s="13">
        <v>1604.61</v>
      </c>
      <c r="I533" s="12" t="str">
        <f t="shared" si="67"/>
        <v>1000=&lt;2000 AZN</v>
      </c>
      <c r="J533" s="13">
        <v>4734.1099999999997</v>
      </c>
      <c r="K533" s="12" t="str">
        <f t="shared" si="68"/>
        <v>4000=&lt;5000 AZN</v>
      </c>
      <c r="L533" s="13">
        <f t="shared" si="69"/>
        <v>-3129.5</v>
      </c>
      <c r="M533" s="52" t="str">
        <f t="shared" si="70"/>
        <v>menfi</v>
      </c>
      <c r="N533" s="19" t="str">
        <f t="shared" si="71"/>
        <v>Coşqun Mirzəyev 37609</v>
      </c>
    </row>
    <row r="534" spans="1:14" ht="14.25" customHeight="1" x14ac:dyDescent="0.25">
      <c r="A534" s="12" t="s">
        <v>574</v>
      </c>
      <c r="B534" s="12" t="s">
        <v>48</v>
      </c>
      <c r="C534" s="14">
        <v>30556</v>
      </c>
      <c r="D534" s="17">
        <f t="shared" si="65"/>
        <v>1983</v>
      </c>
      <c r="E534" s="16">
        <f t="shared" si="64"/>
        <v>42</v>
      </c>
      <c r="F534" s="12" t="str">
        <f t="shared" si="66"/>
        <v>40=&lt;60</v>
      </c>
      <c r="G534" s="12" t="s">
        <v>51</v>
      </c>
      <c r="H534" s="13">
        <v>3128.59</v>
      </c>
      <c r="I534" s="12" t="str">
        <f t="shared" si="67"/>
        <v>3000=&lt;4000 AZN</v>
      </c>
      <c r="J534" s="13">
        <v>3267.78</v>
      </c>
      <c r="K534" s="12" t="str">
        <f t="shared" si="68"/>
        <v>3000=&lt;4000 AZN</v>
      </c>
      <c r="L534" s="13">
        <f t="shared" si="69"/>
        <v>-139.19000000000005</v>
      </c>
      <c r="M534" s="52" t="str">
        <f t="shared" si="70"/>
        <v>menfi</v>
      </c>
      <c r="N534" s="19" t="str">
        <f t="shared" si="71"/>
        <v>Şahmar Abbasbəyli 30556</v>
      </c>
    </row>
    <row r="535" spans="1:14" ht="14.25" customHeight="1" x14ac:dyDescent="0.25">
      <c r="A535" s="12" t="s">
        <v>575</v>
      </c>
      <c r="B535" s="12" t="s">
        <v>48</v>
      </c>
      <c r="C535" s="14">
        <v>37607</v>
      </c>
      <c r="D535" s="17">
        <f t="shared" si="65"/>
        <v>2002</v>
      </c>
      <c r="E535" s="16">
        <f t="shared" si="64"/>
        <v>23</v>
      </c>
      <c r="F535" s="12" t="str">
        <f t="shared" si="66"/>
        <v>20=&lt;30</v>
      </c>
      <c r="G535" s="12" t="s">
        <v>40</v>
      </c>
      <c r="H535" s="13">
        <v>3984.16</v>
      </c>
      <c r="I535" s="12" t="str">
        <f t="shared" si="67"/>
        <v>3000=&lt;4000 AZN</v>
      </c>
      <c r="J535" s="13">
        <v>3896.79</v>
      </c>
      <c r="K535" s="12" t="str">
        <f t="shared" si="68"/>
        <v>3000=&lt;4000 AZN</v>
      </c>
      <c r="L535" s="13">
        <f t="shared" si="69"/>
        <v>87.369999999999891</v>
      </c>
      <c r="M535" s="52" t="str">
        <f t="shared" si="70"/>
        <v>musbet</v>
      </c>
      <c r="N535" s="19" t="str">
        <f t="shared" si="71"/>
        <v>Fəhmin Abbasbəyli 37607</v>
      </c>
    </row>
    <row r="536" spans="1:14" ht="14.25" customHeight="1" x14ac:dyDescent="0.25">
      <c r="A536" s="12" t="s">
        <v>576</v>
      </c>
      <c r="B536" s="12" t="s">
        <v>44</v>
      </c>
      <c r="C536" s="14">
        <v>35244</v>
      </c>
      <c r="D536" s="17">
        <f t="shared" si="65"/>
        <v>1996</v>
      </c>
      <c r="E536" s="16">
        <f t="shared" si="64"/>
        <v>29</v>
      </c>
      <c r="F536" s="12" t="str">
        <f t="shared" si="66"/>
        <v>20=&lt;30</v>
      </c>
      <c r="G536" s="12" t="s">
        <v>42</v>
      </c>
      <c r="H536" s="13">
        <v>2435.92</v>
      </c>
      <c r="I536" s="12" t="str">
        <f t="shared" si="67"/>
        <v>2000=&lt;3000 AZN</v>
      </c>
      <c r="J536" s="13">
        <v>507.29</v>
      </c>
      <c r="K536" s="12" t="str">
        <f t="shared" si="68"/>
        <v>&lt;1000 AZN</v>
      </c>
      <c r="L536" s="13">
        <f t="shared" si="69"/>
        <v>1928.63</v>
      </c>
      <c r="M536" s="52" t="str">
        <f t="shared" si="70"/>
        <v>musbet</v>
      </c>
      <c r="N536" s="19" t="str">
        <f t="shared" si="71"/>
        <v>Lazım Təhmin 35244</v>
      </c>
    </row>
    <row r="537" spans="1:14" ht="14.25" customHeight="1" x14ac:dyDescent="0.25">
      <c r="A537" s="12" t="s">
        <v>577</v>
      </c>
      <c r="B537" s="12" t="s">
        <v>27</v>
      </c>
      <c r="C537" s="14">
        <v>24569</v>
      </c>
      <c r="D537" s="17">
        <f t="shared" si="65"/>
        <v>1967</v>
      </c>
      <c r="E537" s="16">
        <f t="shared" si="64"/>
        <v>58</v>
      </c>
      <c r="F537" s="12" t="str">
        <f t="shared" si="66"/>
        <v>40=&lt;60</v>
      </c>
      <c r="G537" s="12" t="s">
        <v>40</v>
      </c>
      <c r="H537" s="13">
        <v>2802.71</v>
      </c>
      <c r="I537" s="12" t="str">
        <f t="shared" si="67"/>
        <v>2000=&lt;3000 AZN</v>
      </c>
      <c r="J537" s="13">
        <v>4151.0200000000004</v>
      </c>
      <c r="K537" s="12" t="str">
        <f t="shared" si="68"/>
        <v>4000=&lt;5000 AZN</v>
      </c>
      <c r="L537" s="13">
        <f t="shared" si="69"/>
        <v>-1348.3100000000004</v>
      </c>
      <c r="M537" s="52" t="str">
        <f t="shared" si="70"/>
        <v>menfi</v>
      </c>
      <c r="N537" s="19" t="str">
        <f t="shared" si="71"/>
        <v>Məsmə Vurğun 24569</v>
      </c>
    </row>
    <row r="538" spans="1:14" ht="14.25" customHeight="1" x14ac:dyDescent="0.25">
      <c r="A538" s="12" t="s">
        <v>256</v>
      </c>
      <c r="B538" s="12" t="s">
        <v>44</v>
      </c>
      <c r="C538" s="14">
        <v>35818</v>
      </c>
      <c r="D538" s="17">
        <f t="shared" si="65"/>
        <v>1998</v>
      </c>
      <c r="E538" s="16">
        <f t="shared" si="64"/>
        <v>27</v>
      </c>
      <c r="F538" s="12" t="str">
        <f t="shared" si="66"/>
        <v>20=&lt;30</v>
      </c>
      <c r="G538" s="12" t="s">
        <v>45</v>
      </c>
      <c r="H538" s="13">
        <v>3495.75</v>
      </c>
      <c r="I538" s="12" t="str">
        <f t="shared" si="67"/>
        <v>3000=&lt;4000 AZN</v>
      </c>
      <c r="J538" s="13">
        <v>1687.43</v>
      </c>
      <c r="K538" s="12" t="str">
        <f t="shared" si="68"/>
        <v>1000=&lt;2000 AZN</v>
      </c>
      <c r="L538" s="13">
        <f t="shared" si="69"/>
        <v>1808.32</v>
      </c>
      <c r="M538" s="52" t="str">
        <f t="shared" si="70"/>
        <v>musbet</v>
      </c>
      <c r="N538" s="19" t="str">
        <f t="shared" si="71"/>
        <v>Münəvvər Təhmin 35818</v>
      </c>
    </row>
    <row r="539" spans="1:14" ht="14.25" customHeight="1" x14ac:dyDescent="0.25">
      <c r="A539" s="12" t="s">
        <v>578</v>
      </c>
      <c r="B539" s="12" t="s">
        <v>28</v>
      </c>
      <c r="C539" s="14">
        <v>28461</v>
      </c>
      <c r="D539" s="17">
        <f t="shared" si="65"/>
        <v>1977</v>
      </c>
      <c r="E539" s="16">
        <f t="shared" si="64"/>
        <v>48</v>
      </c>
      <c r="F539" s="12" t="str">
        <f t="shared" si="66"/>
        <v>40=&lt;60</v>
      </c>
      <c r="G539" s="12" t="s">
        <v>58</v>
      </c>
      <c r="H539" s="13">
        <v>1551.17</v>
      </c>
      <c r="I539" s="12" t="str">
        <f t="shared" si="67"/>
        <v>1000=&lt;2000 AZN</v>
      </c>
      <c r="J539" s="13">
        <v>795.81</v>
      </c>
      <c r="K539" s="12" t="str">
        <f t="shared" si="68"/>
        <v>&lt;1000 AZN</v>
      </c>
      <c r="L539" s="13">
        <f t="shared" si="69"/>
        <v>755.36000000000013</v>
      </c>
      <c r="M539" s="52" t="str">
        <f t="shared" si="70"/>
        <v>musbet</v>
      </c>
      <c r="N539" s="19" t="str">
        <f t="shared" si="71"/>
        <v>Aydın Mirzəyev 28461</v>
      </c>
    </row>
    <row r="540" spans="1:14" ht="14.25" customHeight="1" x14ac:dyDescent="0.25">
      <c r="A540" s="12" t="s">
        <v>579</v>
      </c>
      <c r="B540" s="12" t="s">
        <v>27</v>
      </c>
      <c r="C540" s="14">
        <v>22361</v>
      </c>
      <c r="D540" s="17">
        <f t="shared" si="65"/>
        <v>1961</v>
      </c>
      <c r="E540" s="16">
        <f t="shared" si="64"/>
        <v>64</v>
      </c>
      <c r="F540" s="12" t="str">
        <f t="shared" si="66"/>
        <v>60=&lt;</v>
      </c>
      <c r="G540" s="12" t="s">
        <v>51</v>
      </c>
      <c r="H540" s="13">
        <v>2674.68</v>
      </c>
      <c r="I540" s="12" t="str">
        <f t="shared" si="67"/>
        <v>2000=&lt;3000 AZN</v>
      </c>
      <c r="J540" s="13">
        <v>1425.63</v>
      </c>
      <c r="K540" s="12" t="str">
        <f t="shared" si="68"/>
        <v>1000=&lt;2000 AZN</v>
      </c>
      <c r="L540" s="13">
        <f t="shared" si="69"/>
        <v>1249.0499999999997</v>
      </c>
      <c r="M540" s="52" t="str">
        <f t="shared" si="70"/>
        <v>musbet</v>
      </c>
      <c r="N540" s="19" t="str">
        <f t="shared" si="71"/>
        <v>Tamilla Vurğun 22361</v>
      </c>
    </row>
    <row r="541" spans="1:14" ht="14.25" customHeight="1" x14ac:dyDescent="0.25">
      <c r="A541" s="12" t="s">
        <v>580</v>
      </c>
      <c r="B541" s="12" t="s">
        <v>65</v>
      </c>
      <c r="C541" s="14">
        <v>33775</v>
      </c>
      <c r="D541" s="17">
        <f t="shared" si="65"/>
        <v>1992</v>
      </c>
      <c r="E541" s="16">
        <f t="shared" si="64"/>
        <v>33</v>
      </c>
      <c r="F541" s="12" t="str">
        <f t="shared" si="66"/>
        <v>30=&lt;40</v>
      </c>
      <c r="G541" s="12" t="s">
        <v>49</v>
      </c>
      <c r="H541" s="13">
        <v>3155.41</v>
      </c>
      <c r="I541" s="12" t="str">
        <f t="shared" si="67"/>
        <v>3000=&lt;4000 AZN</v>
      </c>
      <c r="J541" s="13">
        <v>3246.39</v>
      </c>
      <c r="K541" s="12" t="str">
        <f t="shared" si="68"/>
        <v>3000=&lt;4000 AZN</v>
      </c>
      <c r="L541" s="13">
        <f t="shared" si="69"/>
        <v>-90.980000000000018</v>
      </c>
      <c r="M541" s="52" t="str">
        <f t="shared" si="70"/>
        <v>menfi</v>
      </c>
      <c r="N541" s="19" t="str">
        <f t="shared" si="71"/>
        <v>Xəyyam Cabbarov 33775</v>
      </c>
    </row>
    <row r="542" spans="1:14" ht="14.25" customHeight="1" x14ac:dyDescent="0.25">
      <c r="A542" s="12" t="s">
        <v>581</v>
      </c>
      <c r="B542" s="12" t="s">
        <v>30</v>
      </c>
      <c r="C542" s="14">
        <v>29649</v>
      </c>
      <c r="D542" s="17">
        <f t="shared" si="65"/>
        <v>1981</v>
      </c>
      <c r="E542" s="16">
        <f t="shared" si="64"/>
        <v>44</v>
      </c>
      <c r="F542" s="12" t="str">
        <f t="shared" si="66"/>
        <v>40=&lt;60</v>
      </c>
      <c r="G542" s="12" t="s">
        <v>58</v>
      </c>
      <c r="H542" s="13">
        <v>2005.28</v>
      </c>
      <c r="I542" s="12" t="str">
        <f t="shared" si="67"/>
        <v>2000=&lt;3000 AZN</v>
      </c>
      <c r="J542" s="13">
        <v>3396.88</v>
      </c>
      <c r="K542" s="12" t="str">
        <f t="shared" si="68"/>
        <v>3000=&lt;4000 AZN</v>
      </c>
      <c r="L542" s="13">
        <f t="shared" si="69"/>
        <v>-1391.6000000000001</v>
      </c>
      <c r="M542" s="52" t="str">
        <f t="shared" si="70"/>
        <v>menfi</v>
      </c>
      <c r="N542" s="19" t="str">
        <f t="shared" si="71"/>
        <v>Flora Bəktaşi 29649</v>
      </c>
    </row>
    <row r="543" spans="1:14" ht="14.25" customHeight="1" x14ac:dyDescent="0.25">
      <c r="A543" s="12" t="s">
        <v>582</v>
      </c>
      <c r="B543" s="12" t="s">
        <v>27</v>
      </c>
      <c r="C543" s="14">
        <v>30932</v>
      </c>
      <c r="D543" s="17">
        <f t="shared" si="65"/>
        <v>1984</v>
      </c>
      <c r="E543" s="16">
        <f t="shared" si="64"/>
        <v>41</v>
      </c>
      <c r="F543" s="12" t="str">
        <f t="shared" si="66"/>
        <v>40=&lt;60</v>
      </c>
      <c r="G543" s="12" t="s">
        <v>63</v>
      </c>
      <c r="H543" s="13">
        <v>3573.06</v>
      </c>
      <c r="I543" s="12" t="str">
        <f t="shared" si="67"/>
        <v>3000=&lt;4000 AZN</v>
      </c>
      <c r="J543" s="13">
        <v>1539.98</v>
      </c>
      <c r="K543" s="12" t="str">
        <f t="shared" si="68"/>
        <v>1000=&lt;2000 AZN</v>
      </c>
      <c r="L543" s="13">
        <f t="shared" si="69"/>
        <v>2033.08</v>
      </c>
      <c r="M543" s="52" t="str">
        <f t="shared" si="70"/>
        <v>musbet</v>
      </c>
      <c r="N543" s="19" t="str">
        <f t="shared" si="71"/>
        <v>Süleyman Vurğun 30932</v>
      </c>
    </row>
    <row r="544" spans="1:14" ht="14.25" customHeight="1" x14ac:dyDescent="0.25">
      <c r="A544" s="12" t="s">
        <v>583</v>
      </c>
      <c r="B544" s="12" t="s">
        <v>44</v>
      </c>
      <c r="C544" s="14">
        <v>26277</v>
      </c>
      <c r="D544" s="17">
        <f t="shared" si="65"/>
        <v>1971</v>
      </c>
      <c r="E544" s="16">
        <f t="shared" si="64"/>
        <v>54</v>
      </c>
      <c r="F544" s="12" t="str">
        <f t="shared" si="66"/>
        <v>40=&lt;60</v>
      </c>
      <c r="G544" s="12" t="s">
        <v>60</v>
      </c>
      <c r="H544" s="13">
        <v>2606.2600000000002</v>
      </c>
      <c r="I544" s="12" t="str">
        <f t="shared" si="67"/>
        <v>2000=&lt;3000 AZN</v>
      </c>
      <c r="J544" s="13">
        <v>4158.32</v>
      </c>
      <c r="K544" s="12" t="str">
        <f t="shared" si="68"/>
        <v>4000=&lt;5000 AZN</v>
      </c>
      <c r="L544" s="13">
        <f t="shared" si="69"/>
        <v>-1552.0599999999995</v>
      </c>
      <c r="M544" s="52" t="str">
        <f t="shared" si="70"/>
        <v>menfi</v>
      </c>
      <c r="N544" s="19" t="str">
        <f t="shared" si="71"/>
        <v>Elşən Təhmin 26277</v>
      </c>
    </row>
    <row r="545" spans="1:14" ht="14.25" customHeight="1" x14ac:dyDescent="0.25">
      <c r="A545" s="12" t="s">
        <v>584</v>
      </c>
      <c r="B545" s="12" t="s">
        <v>27</v>
      </c>
      <c r="C545" s="14">
        <v>36295</v>
      </c>
      <c r="D545" s="17">
        <f t="shared" si="65"/>
        <v>1999</v>
      </c>
      <c r="E545" s="16">
        <f t="shared" si="64"/>
        <v>26</v>
      </c>
      <c r="F545" s="12" t="str">
        <f t="shared" si="66"/>
        <v>20=&lt;30</v>
      </c>
      <c r="G545" s="12" t="s">
        <v>42</v>
      </c>
      <c r="H545" s="13">
        <v>3286.21</v>
      </c>
      <c r="I545" s="12" t="str">
        <f t="shared" si="67"/>
        <v>3000=&lt;4000 AZN</v>
      </c>
      <c r="J545" s="13">
        <v>572.54999999999995</v>
      </c>
      <c r="K545" s="12" t="str">
        <f t="shared" si="68"/>
        <v>&lt;1000 AZN</v>
      </c>
      <c r="L545" s="13">
        <f t="shared" si="69"/>
        <v>2713.66</v>
      </c>
      <c r="M545" s="52" t="str">
        <f t="shared" si="70"/>
        <v>musbet</v>
      </c>
      <c r="N545" s="19" t="str">
        <f t="shared" si="71"/>
        <v>Eyyub Vurğun 36295</v>
      </c>
    </row>
    <row r="546" spans="1:14" ht="14.25" customHeight="1" x14ac:dyDescent="0.25">
      <c r="A546" s="12" t="s">
        <v>585</v>
      </c>
      <c r="B546" s="12" t="s">
        <v>65</v>
      </c>
      <c r="C546" s="14">
        <v>26635</v>
      </c>
      <c r="D546" s="17">
        <f t="shared" si="65"/>
        <v>1972</v>
      </c>
      <c r="E546" s="16">
        <f t="shared" si="64"/>
        <v>53</v>
      </c>
      <c r="F546" s="12" t="str">
        <f t="shared" si="66"/>
        <v>40=&lt;60</v>
      </c>
      <c r="G546" s="12" t="s">
        <v>58</v>
      </c>
      <c r="H546" s="13">
        <v>3641.3</v>
      </c>
      <c r="I546" s="12" t="str">
        <f t="shared" si="67"/>
        <v>3000=&lt;4000 AZN</v>
      </c>
      <c r="J546" s="13">
        <v>3485.94</v>
      </c>
      <c r="K546" s="12" t="str">
        <f t="shared" si="68"/>
        <v>3000=&lt;4000 AZN</v>
      </c>
      <c r="L546" s="13">
        <f t="shared" si="69"/>
        <v>155.36000000000013</v>
      </c>
      <c r="M546" s="52" t="str">
        <f t="shared" si="70"/>
        <v>musbet</v>
      </c>
      <c r="N546" s="19" t="str">
        <f t="shared" si="71"/>
        <v>Ramil Cabbarov 26635</v>
      </c>
    </row>
    <row r="547" spans="1:14" ht="14.25" customHeight="1" x14ac:dyDescent="0.25">
      <c r="A547" s="12" t="s">
        <v>586</v>
      </c>
      <c r="B547" s="12" t="s">
        <v>48</v>
      </c>
      <c r="C547" s="14">
        <v>25208</v>
      </c>
      <c r="D547" s="17">
        <f t="shared" si="65"/>
        <v>1969</v>
      </c>
      <c r="E547" s="16">
        <f t="shared" si="64"/>
        <v>56</v>
      </c>
      <c r="F547" s="12" t="str">
        <f t="shared" si="66"/>
        <v>40=&lt;60</v>
      </c>
      <c r="G547" s="12" t="s">
        <v>58</v>
      </c>
      <c r="H547" s="13">
        <v>615.99</v>
      </c>
      <c r="I547" s="12" t="str">
        <f t="shared" si="67"/>
        <v>&lt;1000 AZN</v>
      </c>
      <c r="J547" s="13">
        <v>2456.35</v>
      </c>
      <c r="K547" s="12" t="str">
        <f t="shared" si="68"/>
        <v>2000=&lt;3000 AZN</v>
      </c>
      <c r="L547" s="13">
        <f t="shared" si="69"/>
        <v>-1840.36</v>
      </c>
      <c r="M547" s="52" t="str">
        <f t="shared" si="70"/>
        <v>menfi</v>
      </c>
      <c r="N547" s="19" t="str">
        <f t="shared" si="71"/>
        <v>Rövşən Abbasbəyli 25208</v>
      </c>
    </row>
    <row r="548" spans="1:14" ht="14.25" customHeight="1" x14ac:dyDescent="0.25">
      <c r="A548" s="12" t="s">
        <v>587</v>
      </c>
      <c r="B548" s="12" t="s">
        <v>56</v>
      </c>
      <c r="C548" s="14">
        <v>25504</v>
      </c>
      <c r="D548" s="17">
        <f t="shared" si="65"/>
        <v>1969</v>
      </c>
      <c r="E548" s="16">
        <f t="shared" si="64"/>
        <v>56</v>
      </c>
      <c r="F548" s="12" t="str">
        <f t="shared" si="66"/>
        <v>40=&lt;60</v>
      </c>
      <c r="G548" s="12" t="s">
        <v>51</v>
      </c>
      <c r="H548" s="13">
        <v>1535.7</v>
      </c>
      <c r="I548" s="12" t="str">
        <f t="shared" si="67"/>
        <v>1000=&lt;2000 AZN</v>
      </c>
      <c r="J548" s="13">
        <v>4608.13</v>
      </c>
      <c r="K548" s="12" t="str">
        <f t="shared" si="68"/>
        <v>4000=&lt;5000 AZN</v>
      </c>
      <c r="L548" s="13">
        <f t="shared" si="69"/>
        <v>-3072.4300000000003</v>
      </c>
      <c r="M548" s="52" t="str">
        <f t="shared" si="70"/>
        <v>menfi</v>
      </c>
      <c r="N548" s="19" t="str">
        <f t="shared" si="71"/>
        <v>Əsgər Talıbzadə 25504</v>
      </c>
    </row>
    <row r="549" spans="1:14" ht="14.25" customHeight="1" x14ac:dyDescent="0.25">
      <c r="A549" s="12" t="s">
        <v>588</v>
      </c>
      <c r="B549" s="12" t="s">
        <v>44</v>
      </c>
      <c r="C549" s="14">
        <v>34244</v>
      </c>
      <c r="D549" s="17">
        <f t="shared" si="65"/>
        <v>1993</v>
      </c>
      <c r="E549" s="16">
        <f t="shared" si="64"/>
        <v>32</v>
      </c>
      <c r="F549" s="12" t="str">
        <f t="shared" si="66"/>
        <v>30=&lt;40</v>
      </c>
      <c r="G549" s="12" t="s">
        <v>42</v>
      </c>
      <c r="H549" s="13">
        <v>4728.74</v>
      </c>
      <c r="I549" s="12" t="str">
        <f t="shared" si="67"/>
        <v>4000=&lt;5000 AZN</v>
      </c>
      <c r="J549" s="13">
        <v>3605.86</v>
      </c>
      <c r="K549" s="12" t="str">
        <f t="shared" si="68"/>
        <v>3000=&lt;4000 AZN</v>
      </c>
      <c r="L549" s="13">
        <f t="shared" si="69"/>
        <v>1122.8799999999997</v>
      </c>
      <c r="M549" s="52" t="str">
        <f t="shared" si="70"/>
        <v>musbet</v>
      </c>
      <c r="N549" s="19" t="str">
        <f t="shared" si="71"/>
        <v>Şamil Təhmin 34244</v>
      </c>
    </row>
    <row r="550" spans="1:14" ht="14.25" customHeight="1" x14ac:dyDescent="0.25">
      <c r="A550" s="12" t="s">
        <v>589</v>
      </c>
      <c r="B550" s="12" t="s">
        <v>28</v>
      </c>
      <c r="C550" s="14">
        <v>30708</v>
      </c>
      <c r="D550" s="17">
        <f t="shared" si="65"/>
        <v>1984</v>
      </c>
      <c r="E550" s="16">
        <f t="shared" si="64"/>
        <v>41</v>
      </c>
      <c r="F550" s="12" t="str">
        <f t="shared" si="66"/>
        <v>40=&lt;60</v>
      </c>
      <c r="G550" s="12" t="s">
        <v>53</v>
      </c>
      <c r="H550" s="13">
        <v>1925.43</v>
      </c>
      <c r="I550" s="12" t="str">
        <f t="shared" si="67"/>
        <v>1000=&lt;2000 AZN</v>
      </c>
      <c r="J550" s="13">
        <v>4006.77</v>
      </c>
      <c r="K550" s="12" t="str">
        <f t="shared" si="68"/>
        <v>4000=&lt;5000 AZN</v>
      </c>
      <c r="L550" s="13">
        <f t="shared" si="69"/>
        <v>-2081.34</v>
      </c>
      <c r="M550" s="52" t="str">
        <f t="shared" si="70"/>
        <v>menfi</v>
      </c>
      <c r="N550" s="19" t="str">
        <f t="shared" si="71"/>
        <v>Adilə Mirzəyev 30708</v>
      </c>
    </row>
    <row r="551" spans="1:14" ht="14.25" customHeight="1" x14ac:dyDescent="0.25">
      <c r="A551" s="12" t="s">
        <v>590</v>
      </c>
      <c r="B551" s="12" t="s">
        <v>30</v>
      </c>
      <c r="C551" s="14">
        <v>31576</v>
      </c>
      <c r="D551" s="17">
        <f t="shared" si="65"/>
        <v>1986</v>
      </c>
      <c r="E551" s="16">
        <f t="shared" si="64"/>
        <v>39</v>
      </c>
      <c r="F551" s="12" t="str">
        <f t="shared" si="66"/>
        <v>30=&lt;40</v>
      </c>
      <c r="G551" s="12" t="s">
        <v>58</v>
      </c>
      <c r="H551" s="13">
        <v>2403.94</v>
      </c>
      <c r="I551" s="12" t="str">
        <f t="shared" si="67"/>
        <v>2000=&lt;3000 AZN</v>
      </c>
      <c r="J551" s="13">
        <v>709.55</v>
      </c>
      <c r="K551" s="12" t="str">
        <f t="shared" si="68"/>
        <v>&lt;1000 AZN</v>
      </c>
      <c r="L551" s="13">
        <f t="shared" si="69"/>
        <v>1694.39</v>
      </c>
      <c r="M551" s="52" t="str">
        <f t="shared" si="70"/>
        <v>musbet</v>
      </c>
      <c r="N551" s="19" t="str">
        <f t="shared" si="71"/>
        <v>Nailə Bəktaşi 31576</v>
      </c>
    </row>
    <row r="552" spans="1:14" ht="14.25" customHeight="1" x14ac:dyDescent="0.25">
      <c r="A552" s="12" t="s">
        <v>591</v>
      </c>
      <c r="B552" s="12" t="s">
        <v>65</v>
      </c>
      <c r="C552" s="14">
        <v>35650</v>
      </c>
      <c r="D552" s="17">
        <f t="shared" si="65"/>
        <v>1997</v>
      </c>
      <c r="E552" s="16">
        <f t="shared" si="64"/>
        <v>28</v>
      </c>
      <c r="F552" s="12" t="str">
        <f t="shared" si="66"/>
        <v>20=&lt;30</v>
      </c>
      <c r="G552" s="12" t="s">
        <v>51</v>
      </c>
      <c r="H552" s="13">
        <v>320.61</v>
      </c>
      <c r="I552" s="12" t="str">
        <f t="shared" si="67"/>
        <v>&lt;1000 AZN</v>
      </c>
      <c r="J552" s="13">
        <v>2076.79</v>
      </c>
      <c r="K552" s="12" t="str">
        <f t="shared" si="68"/>
        <v>2000=&lt;3000 AZN</v>
      </c>
      <c r="L552" s="13">
        <f t="shared" si="69"/>
        <v>-1756.1799999999998</v>
      </c>
      <c r="M552" s="52" t="str">
        <f t="shared" si="70"/>
        <v>menfi</v>
      </c>
      <c r="N552" s="19" t="str">
        <f t="shared" si="71"/>
        <v>Elmidar Cabbarov 35650</v>
      </c>
    </row>
    <row r="553" spans="1:14" ht="14.25" customHeight="1" x14ac:dyDescent="0.25">
      <c r="A553" s="12" t="s">
        <v>592</v>
      </c>
      <c r="B553" s="12" t="s">
        <v>26</v>
      </c>
      <c r="C553" s="14">
        <v>28932</v>
      </c>
      <c r="D553" s="17">
        <f t="shared" si="65"/>
        <v>1979</v>
      </c>
      <c r="E553" s="16">
        <f t="shared" si="64"/>
        <v>46</v>
      </c>
      <c r="F553" s="12" t="str">
        <f t="shared" si="66"/>
        <v>40=&lt;60</v>
      </c>
      <c r="G553" s="12" t="s">
        <v>40</v>
      </c>
      <c r="H553" s="13">
        <v>887.18</v>
      </c>
      <c r="I553" s="12" t="str">
        <f t="shared" si="67"/>
        <v>&lt;1000 AZN</v>
      </c>
      <c r="J553" s="13">
        <v>2291.5300000000002</v>
      </c>
      <c r="K553" s="12" t="str">
        <f t="shared" si="68"/>
        <v>2000=&lt;3000 AZN</v>
      </c>
      <c r="L553" s="13">
        <f t="shared" si="69"/>
        <v>-1404.3500000000004</v>
      </c>
      <c r="M553" s="52" t="str">
        <f t="shared" si="70"/>
        <v>menfi</v>
      </c>
      <c r="N553" s="19" t="str">
        <f t="shared" si="71"/>
        <v>Səbuhi Həsənli 28932</v>
      </c>
    </row>
    <row r="554" spans="1:14" ht="14.25" customHeight="1" x14ac:dyDescent="0.25">
      <c r="A554" s="12" t="s">
        <v>593</v>
      </c>
      <c r="B554" s="12" t="s">
        <v>44</v>
      </c>
      <c r="C554" s="14">
        <v>26562</v>
      </c>
      <c r="D554" s="17">
        <f t="shared" si="65"/>
        <v>1972</v>
      </c>
      <c r="E554" s="16">
        <f t="shared" si="64"/>
        <v>53</v>
      </c>
      <c r="F554" s="12" t="str">
        <f t="shared" si="66"/>
        <v>40=&lt;60</v>
      </c>
      <c r="G554" s="12" t="s">
        <v>66</v>
      </c>
      <c r="H554" s="13">
        <v>1196.79</v>
      </c>
      <c r="I554" s="12" t="str">
        <f t="shared" si="67"/>
        <v>1000=&lt;2000 AZN</v>
      </c>
      <c r="J554" s="13">
        <v>2372.13</v>
      </c>
      <c r="K554" s="12" t="str">
        <f t="shared" si="68"/>
        <v>2000=&lt;3000 AZN</v>
      </c>
      <c r="L554" s="13">
        <f t="shared" si="69"/>
        <v>-1175.3400000000001</v>
      </c>
      <c r="M554" s="52" t="str">
        <f t="shared" si="70"/>
        <v>menfi</v>
      </c>
      <c r="N554" s="19" t="str">
        <f t="shared" si="71"/>
        <v>Sərvər  Təhmin 26562</v>
      </c>
    </row>
    <row r="555" spans="1:14" ht="14.25" customHeight="1" x14ac:dyDescent="0.25">
      <c r="A555" s="12" t="s">
        <v>594</v>
      </c>
      <c r="B555" s="12" t="s">
        <v>30</v>
      </c>
      <c r="C555" s="14">
        <v>30973</v>
      </c>
      <c r="D555" s="17">
        <f t="shared" si="65"/>
        <v>1984</v>
      </c>
      <c r="E555" s="16">
        <f t="shared" si="64"/>
        <v>41</v>
      </c>
      <c r="F555" s="12" t="str">
        <f t="shared" si="66"/>
        <v>40=&lt;60</v>
      </c>
      <c r="G555" s="12" t="s">
        <v>60</v>
      </c>
      <c r="H555" s="13">
        <v>4647.4399999999996</v>
      </c>
      <c r="I555" s="12" t="str">
        <f t="shared" si="67"/>
        <v>4000=&lt;5000 AZN</v>
      </c>
      <c r="J555" s="13">
        <v>3669.89</v>
      </c>
      <c r="K555" s="12" t="str">
        <f t="shared" si="68"/>
        <v>3000=&lt;4000 AZN</v>
      </c>
      <c r="L555" s="13">
        <f t="shared" si="69"/>
        <v>977.54999999999973</v>
      </c>
      <c r="M555" s="52" t="str">
        <f t="shared" si="70"/>
        <v>musbet</v>
      </c>
      <c r="N555" s="19" t="str">
        <f t="shared" si="71"/>
        <v>Cavad Bəktaşi 30973</v>
      </c>
    </row>
    <row r="556" spans="1:14" ht="14.25" customHeight="1" x14ac:dyDescent="0.25">
      <c r="A556" s="12" t="s">
        <v>595</v>
      </c>
      <c r="B556" s="12" t="s">
        <v>39</v>
      </c>
      <c r="C556" s="14">
        <v>34751</v>
      </c>
      <c r="D556" s="17">
        <f t="shared" si="65"/>
        <v>1995</v>
      </c>
      <c r="E556" s="16">
        <f t="shared" si="64"/>
        <v>30</v>
      </c>
      <c r="F556" s="12" t="str">
        <f t="shared" si="66"/>
        <v>30=&lt;40</v>
      </c>
      <c r="G556" s="12" t="s">
        <v>42</v>
      </c>
      <c r="H556" s="13">
        <v>3272.07</v>
      </c>
      <c r="I556" s="12" t="str">
        <f t="shared" si="67"/>
        <v>3000=&lt;4000 AZN</v>
      </c>
      <c r="J556" s="13">
        <v>4923.59</v>
      </c>
      <c r="K556" s="12" t="str">
        <f t="shared" si="68"/>
        <v>4000=&lt;5000 AZN</v>
      </c>
      <c r="L556" s="13">
        <f t="shared" si="69"/>
        <v>-1651.52</v>
      </c>
      <c r="M556" s="52" t="str">
        <f t="shared" si="70"/>
        <v>menfi</v>
      </c>
      <c r="N556" s="19" t="str">
        <f t="shared" si="71"/>
        <v>Ramid Düzgün 34751</v>
      </c>
    </row>
    <row r="557" spans="1:14" ht="14.25" customHeight="1" x14ac:dyDescent="0.25">
      <c r="A557" s="12" t="s">
        <v>596</v>
      </c>
      <c r="B557" s="12" t="s">
        <v>39</v>
      </c>
      <c r="C557" s="14">
        <v>22507</v>
      </c>
      <c r="D557" s="17">
        <f t="shared" si="65"/>
        <v>1961</v>
      </c>
      <c r="E557" s="16">
        <f t="shared" si="64"/>
        <v>64</v>
      </c>
      <c r="F557" s="12" t="str">
        <f t="shared" si="66"/>
        <v>60=&lt;</v>
      </c>
      <c r="G557" s="12" t="s">
        <v>49</v>
      </c>
      <c r="H557" s="13">
        <v>1894.01</v>
      </c>
      <c r="I557" s="12" t="str">
        <f t="shared" si="67"/>
        <v>1000=&lt;2000 AZN</v>
      </c>
      <c r="J557" s="13">
        <v>1665.39</v>
      </c>
      <c r="K557" s="12" t="str">
        <f t="shared" si="68"/>
        <v>1000=&lt;2000 AZN</v>
      </c>
      <c r="L557" s="13">
        <f t="shared" si="69"/>
        <v>228.61999999999989</v>
      </c>
      <c r="M557" s="52" t="str">
        <f t="shared" si="70"/>
        <v>musbet</v>
      </c>
      <c r="N557" s="19" t="str">
        <f t="shared" si="71"/>
        <v>Lətifə Düzgün 22507</v>
      </c>
    </row>
    <row r="558" spans="1:14" ht="14.25" customHeight="1" x14ac:dyDescent="0.25">
      <c r="A558" s="12" t="s">
        <v>597</v>
      </c>
      <c r="B558" s="12" t="s">
        <v>28</v>
      </c>
      <c r="C558" s="14">
        <v>34372</v>
      </c>
      <c r="D558" s="17">
        <f t="shared" si="65"/>
        <v>1994</v>
      </c>
      <c r="E558" s="16">
        <f t="shared" si="64"/>
        <v>31</v>
      </c>
      <c r="F558" s="12" t="str">
        <f t="shared" si="66"/>
        <v>30=&lt;40</v>
      </c>
      <c r="G558" s="12" t="s">
        <v>40</v>
      </c>
      <c r="H558" s="13">
        <v>1884.26</v>
      </c>
      <c r="I558" s="12" t="str">
        <f t="shared" si="67"/>
        <v>1000=&lt;2000 AZN</v>
      </c>
      <c r="J558" s="13">
        <v>553.21</v>
      </c>
      <c r="K558" s="12" t="str">
        <f t="shared" si="68"/>
        <v>&lt;1000 AZN</v>
      </c>
      <c r="L558" s="13">
        <f t="shared" si="69"/>
        <v>1331.05</v>
      </c>
      <c r="M558" s="52" t="str">
        <f t="shared" si="70"/>
        <v>musbet</v>
      </c>
      <c r="N558" s="19" t="str">
        <f t="shared" si="71"/>
        <v>Əli Mirzəyev 34372</v>
      </c>
    </row>
    <row r="559" spans="1:14" ht="14.25" customHeight="1" x14ac:dyDescent="0.25">
      <c r="A559" s="12" t="s">
        <v>598</v>
      </c>
      <c r="B559" s="12" t="s">
        <v>48</v>
      </c>
      <c r="C559" s="14">
        <v>32107</v>
      </c>
      <c r="D559" s="17">
        <f t="shared" si="65"/>
        <v>1987</v>
      </c>
      <c r="E559" s="16">
        <f t="shared" si="64"/>
        <v>38</v>
      </c>
      <c r="F559" s="12" t="str">
        <f t="shared" si="66"/>
        <v>30=&lt;40</v>
      </c>
      <c r="G559" s="12" t="s">
        <v>60</v>
      </c>
      <c r="H559" s="13">
        <v>448.47</v>
      </c>
      <c r="I559" s="12" t="str">
        <f t="shared" si="67"/>
        <v>&lt;1000 AZN</v>
      </c>
      <c r="J559" s="13">
        <v>3953.22</v>
      </c>
      <c r="K559" s="12" t="str">
        <f t="shared" si="68"/>
        <v>3000=&lt;4000 AZN</v>
      </c>
      <c r="L559" s="13">
        <f t="shared" si="69"/>
        <v>-3504.75</v>
      </c>
      <c r="M559" s="52" t="str">
        <f t="shared" si="70"/>
        <v>menfi</v>
      </c>
      <c r="N559" s="19" t="str">
        <f t="shared" si="71"/>
        <v>Nakif Abbasbəyli 32107</v>
      </c>
    </row>
    <row r="560" spans="1:14" ht="14.25" customHeight="1" x14ac:dyDescent="0.25">
      <c r="A560" s="12" t="s">
        <v>599</v>
      </c>
      <c r="B560" s="12" t="s">
        <v>56</v>
      </c>
      <c r="C560" s="14">
        <v>34911</v>
      </c>
      <c r="D560" s="17">
        <f t="shared" si="65"/>
        <v>1995</v>
      </c>
      <c r="E560" s="16">
        <f t="shared" si="64"/>
        <v>30</v>
      </c>
      <c r="F560" s="12" t="str">
        <f t="shared" si="66"/>
        <v>30=&lt;40</v>
      </c>
      <c r="G560" s="12" t="s">
        <v>53</v>
      </c>
      <c r="H560" s="13">
        <v>2443.19</v>
      </c>
      <c r="I560" s="12" t="str">
        <f t="shared" si="67"/>
        <v>2000=&lt;3000 AZN</v>
      </c>
      <c r="J560" s="13">
        <v>1255.46</v>
      </c>
      <c r="K560" s="12" t="str">
        <f t="shared" si="68"/>
        <v>1000=&lt;2000 AZN</v>
      </c>
      <c r="L560" s="13">
        <f t="shared" si="69"/>
        <v>1187.73</v>
      </c>
      <c r="M560" s="52" t="str">
        <f t="shared" si="70"/>
        <v>musbet</v>
      </c>
      <c r="N560" s="19" t="str">
        <f t="shared" si="71"/>
        <v>Qadir Talıbzadə 34911</v>
      </c>
    </row>
    <row r="561" spans="1:14" ht="14.25" customHeight="1" x14ac:dyDescent="0.25">
      <c r="A561" s="12" t="s">
        <v>600</v>
      </c>
      <c r="B561" s="12" t="s">
        <v>44</v>
      </c>
      <c r="C561" s="14">
        <v>30028</v>
      </c>
      <c r="D561" s="17">
        <f t="shared" si="65"/>
        <v>1982</v>
      </c>
      <c r="E561" s="16">
        <f t="shared" si="64"/>
        <v>43</v>
      </c>
      <c r="F561" s="12" t="str">
        <f t="shared" si="66"/>
        <v>40=&lt;60</v>
      </c>
      <c r="G561" s="12" t="s">
        <v>60</v>
      </c>
      <c r="H561" s="13">
        <v>421.37</v>
      </c>
      <c r="I561" s="12" t="str">
        <f t="shared" si="67"/>
        <v>&lt;1000 AZN</v>
      </c>
      <c r="J561" s="13">
        <v>3947.12</v>
      </c>
      <c r="K561" s="12" t="str">
        <f t="shared" si="68"/>
        <v>3000=&lt;4000 AZN</v>
      </c>
      <c r="L561" s="13">
        <f t="shared" si="69"/>
        <v>-3525.75</v>
      </c>
      <c r="M561" s="52" t="str">
        <f t="shared" si="70"/>
        <v>menfi</v>
      </c>
      <c r="N561" s="19" t="str">
        <f t="shared" si="71"/>
        <v>Zamiq Təhmin 30028</v>
      </c>
    </row>
    <row r="562" spans="1:14" ht="14.25" customHeight="1" x14ac:dyDescent="0.25">
      <c r="A562" s="12" t="s">
        <v>601</v>
      </c>
      <c r="B562" s="12" t="s">
        <v>65</v>
      </c>
      <c r="C562" s="14">
        <v>24524</v>
      </c>
      <c r="D562" s="17">
        <f t="shared" si="65"/>
        <v>1967</v>
      </c>
      <c r="E562" s="16">
        <f t="shared" si="64"/>
        <v>58</v>
      </c>
      <c r="F562" s="12" t="str">
        <f t="shared" si="66"/>
        <v>40=&lt;60</v>
      </c>
      <c r="G562" s="12" t="s">
        <v>63</v>
      </c>
      <c r="H562" s="13">
        <v>1599.14</v>
      </c>
      <c r="I562" s="12" t="str">
        <f t="shared" si="67"/>
        <v>1000=&lt;2000 AZN</v>
      </c>
      <c r="J562" s="13">
        <v>4412.38</v>
      </c>
      <c r="K562" s="12" t="str">
        <f t="shared" si="68"/>
        <v>4000=&lt;5000 AZN</v>
      </c>
      <c r="L562" s="13">
        <f t="shared" si="69"/>
        <v>-2813.24</v>
      </c>
      <c r="M562" s="52" t="str">
        <f t="shared" si="70"/>
        <v>menfi</v>
      </c>
      <c r="N562" s="19" t="str">
        <f t="shared" si="71"/>
        <v>Tariyel Cabbarov 24524</v>
      </c>
    </row>
    <row r="563" spans="1:14" ht="14.25" customHeight="1" x14ac:dyDescent="0.25">
      <c r="A563" s="12" t="s">
        <v>602</v>
      </c>
      <c r="B563" s="12" t="s">
        <v>56</v>
      </c>
      <c r="C563" s="14">
        <v>26671</v>
      </c>
      <c r="D563" s="17">
        <f t="shared" si="65"/>
        <v>1973</v>
      </c>
      <c r="E563" s="16">
        <f t="shared" si="64"/>
        <v>52</v>
      </c>
      <c r="F563" s="12" t="str">
        <f t="shared" si="66"/>
        <v>40=&lt;60</v>
      </c>
      <c r="G563" s="12" t="s">
        <v>58</v>
      </c>
      <c r="H563" s="13">
        <v>4931.16</v>
      </c>
      <c r="I563" s="12" t="str">
        <f t="shared" si="67"/>
        <v>4000=&lt;5000 AZN</v>
      </c>
      <c r="J563" s="13">
        <v>3172.47</v>
      </c>
      <c r="K563" s="12" t="str">
        <f t="shared" si="68"/>
        <v>3000=&lt;4000 AZN</v>
      </c>
      <c r="L563" s="13">
        <f t="shared" si="69"/>
        <v>1758.69</v>
      </c>
      <c r="M563" s="52" t="str">
        <f t="shared" si="70"/>
        <v>musbet</v>
      </c>
      <c r="N563" s="19" t="str">
        <f t="shared" si="71"/>
        <v>Şahin  Talıbzadə 26671</v>
      </c>
    </row>
    <row r="564" spans="1:14" ht="14.25" customHeight="1" x14ac:dyDescent="0.25">
      <c r="A564" s="12" t="s">
        <v>603</v>
      </c>
      <c r="B564" s="12" t="s">
        <v>65</v>
      </c>
      <c r="C564" s="14">
        <v>27091</v>
      </c>
      <c r="D564" s="17">
        <f t="shared" si="65"/>
        <v>1974</v>
      </c>
      <c r="E564" s="16">
        <f t="shared" si="64"/>
        <v>51</v>
      </c>
      <c r="F564" s="12" t="str">
        <f t="shared" si="66"/>
        <v>40=&lt;60</v>
      </c>
      <c r="G564" s="12" t="s">
        <v>58</v>
      </c>
      <c r="H564" s="13">
        <v>2236.96</v>
      </c>
      <c r="I564" s="12" t="str">
        <f t="shared" si="67"/>
        <v>2000=&lt;3000 AZN</v>
      </c>
      <c r="J564" s="13">
        <v>2731.82</v>
      </c>
      <c r="K564" s="12" t="str">
        <f t="shared" si="68"/>
        <v>2000=&lt;3000 AZN</v>
      </c>
      <c r="L564" s="13">
        <f t="shared" si="69"/>
        <v>-494.86000000000013</v>
      </c>
      <c r="M564" s="52" t="str">
        <f t="shared" si="70"/>
        <v>menfi</v>
      </c>
      <c r="N564" s="19" t="str">
        <f t="shared" si="71"/>
        <v>Xaləddin Cabbarov 27091</v>
      </c>
    </row>
    <row r="565" spans="1:14" ht="14.25" customHeight="1" x14ac:dyDescent="0.25">
      <c r="A565" s="12" t="s">
        <v>604</v>
      </c>
      <c r="B565" s="12" t="s">
        <v>39</v>
      </c>
      <c r="C565" s="14">
        <v>35092</v>
      </c>
      <c r="D565" s="17">
        <f t="shared" si="65"/>
        <v>1996</v>
      </c>
      <c r="E565" s="16">
        <f t="shared" si="64"/>
        <v>29</v>
      </c>
      <c r="F565" s="12" t="str">
        <f t="shared" si="66"/>
        <v>20=&lt;30</v>
      </c>
      <c r="G565" s="12" t="s">
        <v>42</v>
      </c>
      <c r="H565" s="13">
        <v>1384.75</v>
      </c>
      <c r="I565" s="12" t="str">
        <f t="shared" si="67"/>
        <v>1000=&lt;2000 AZN</v>
      </c>
      <c r="J565" s="13">
        <v>4377.92</v>
      </c>
      <c r="K565" s="12" t="str">
        <f t="shared" si="68"/>
        <v>4000=&lt;5000 AZN</v>
      </c>
      <c r="L565" s="13">
        <f t="shared" si="69"/>
        <v>-2993.17</v>
      </c>
      <c r="M565" s="52" t="str">
        <f t="shared" si="70"/>
        <v>menfi</v>
      </c>
      <c r="N565" s="19" t="str">
        <f t="shared" si="71"/>
        <v>Zərdüşt Düzgün 35092</v>
      </c>
    </row>
    <row r="566" spans="1:14" ht="14.25" customHeight="1" x14ac:dyDescent="0.25">
      <c r="A566" s="12" t="s">
        <v>605</v>
      </c>
      <c r="B566" s="12" t="s">
        <v>29</v>
      </c>
      <c r="C566" s="14">
        <v>36273</v>
      </c>
      <c r="D566" s="17">
        <f t="shared" si="65"/>
        <v>1999</v>
      </c>
      <c r="E566" s="16">
        <f t="shared" si="64"/>
        <v>26</v>
      </c>
      <c r="F566" s="12" t="str">
        <f t="shared" si="66"/>
        <v>20=&lt;30</v>
      </c>
      <c r="G566" s="12" t="s">
        <v>40</v>
      </c>
      <c r="H566" s="13">
        <v>1066.54</v>
      </c>
      <c r="I566" s="12" t="str">
        <f t="shared" si="67"/>
        <v>1000=&lt;2000 AZN</v>
      </c>
      <c r="J566" s="13">
        <v>1319.26</v>
      </c>
      <c r="K566" s="12" t="str">
        <f t="shared" si="68"/>
        <v>1000=&lt;2000 AZN</v>
      </c>
      <c r="L566" s="13">
        <f t="shared" si="69"/>
        <v>-252.72000000000003</v>
      </c>
      <c r="M566" s="52" t="str">
        <f t="shared" si="70"/>
        <v>menfi</v>
      </c>
      <c r="N566" s="19" t="str">
        <f t="shared" si="71"/>
        <v>Ramiz  Bayramov 36273</v>
      </c>
    </row>
    <row r="567" spans="1:14" ht="14.25" customHeight="1" x14ac:dyDescent="0.25">
      <c r="A567" s="12" t="s">
        <v>606</v>
      </c>
      <c r="B567" s="12" t="s">
        <v>48</v>
      </c>
      <c r="C567" s="14">
        <v>24513</v>
      </c>
      <c r="D567" s="17">
        <f t="shared" si="65"/>
        <v>1967</v>
      </c>
      <c r="E567" s="16">
        <f t="shared" si="64"/>
        <v>58</v>
      </c>
      <c r="F567" s="12" t="str">
        <f t="shared" si="66"/>
        <v>40=&lt;60</v>
      </c>
      <c r="G567" s="12" t="s">
        <v>40</v>
      </c>
      <c r="H567" s="13">
        <v>3855.83</v>
      </c>
      <c r="I567" s="12" t="str">
        <f t="shared" si="67"/>
        <v>3000=&lt;4000 AZN</v>
      </c>
      <c r="J567" s="13">
        <v>1301.6500000000001</v>
      </c>
      <c r="K567" s="12" t="str">
        <f t="shared" si="68"/>
        <v>1000=&lt;2000 AZN</v>
      </c>
      <c r="L567" s="13">
        <f t="shared" si="69"/>
        <v>2554.1799999999998</v>
      </c>
      <c r="M567" s="52" t="str">
        <f t="shared" si="70"/>
        <v>musbet</v>
      </c>
      <c r="N567" s="19" t="str">
        <f t="shared" si="71"/>
        <v>Şövkət Abbasbəyli 24513</v>
      </c>
    </row>
    <row r="568" spans="1:14" ht="14.25" customHeight="1" x14ac:dyDescent="0.25">
      <c r="A568" s="12" t="s">
        <v>607</v>
      </c>
      <c r="B568" s="12" t="s">
        <v>56</v>
      </c>
      <c r="C568" s="14">
        <v>22015</v>
      </c>
      <c r="D568" s="17">
        <f t="shared" si="65"/>
        <v>1960</v>
      </c>
      <c r="E568" s="16">
        <f t="shared" si="64"/>
        <v>65</v>
      </c>
      <c r="F568" s="12" t="str">
        <f t="shared" si="66"/>
        <v>60=&lt;</v>
      </c>
      <c r="G568" s="12" t="s">
        <v>60</v>
      </c>
      <c r="H568" s="13">
        <v>2053.4899999999998</v>
      </c>
      <c r="I568" s="12" t="str">
        <f t="shared" si="67"/>
        <v>2000=&lt;3000 AZN</v>
      </c>
      <c r="J568" s="13">
        <v>3236.39</v>
      </c>
      <c r="K568" s="12" t="str">
        <f t="shared" si="68"/>
        <v>3000=&lt;4000 AZN</v>
      </c>
      <c r="L568" s="13">
        <f t="shared" si="69"/>
        <v>-1182.9000000000001</v>
      </c>
      <c r="M568" s="52" t="str">
        <f t="shared" si="70"/>
        <v>menfi</v>
      </c>
      <c r="N568" s="19" t="str">
        <f t="shared" si="71"/>
        <v>Turan Talıbzadə 22015</v>
      </c>
    </row>
    <row r="569" spans="1:14" ht="14.25" customHeight="1" x14ac:dyDescent="0.25">
      <c r="A569" s="12" t="s">
        <v>608</v>
      </c>
      <c r="B569" s="12" t="s">
        <v>65</v>
      </c>
      <c r="C569" s="14">
        <v>25892</v>
      </c>
      <c r="D569" s="17">
        <f t="shared" si="65"/>
        <v>1970</v>
      </c>
      <c r="E569" s="16">
        <f t="shared" si="64"/>
        <v>55</v>
      </c>
      <c r="F569" s="12" t="str">
        <f t="shared" si="66"/>
        <v>40=&lt;60</v>
      </c>
      <c r="G569" s="12" t="s">
        <v>66</v>
      </c>
      <c r="H569" s="13">
        <v>2003.09</v>
      </c>
      <c r="I569" s="12" t="str">
        <f t="shared" si="67"/>
        <v>2000=&lt;3000 AZN</v>
      </c>
      <c r="J569" s="13">
        <v>2470.89</v>
      </c>
      <c r="K569" s="12" t="str">
        <f t="shared" si="68"/>
        <v>2000=&lt;3000 AZN</v>
      </c>
      <c r="L569" s="13">
        <f t="shared" si="69"/>
        <v>-467.79999999999995</v>
      </c>
      <c r="M569" s="52" t="str">
        <f t="shared" si="70"/>
        <v>menfi</v>
      </c>
      <c r="N569" s="19" t="str">
        <f t="shared" si="71"/>
        <v>Etiqad Cabbarov 25892</v>
      </c>
    </row>
    <row r="570" spans="1:14" ht="14.25" customHeight="1" x14ac:dyDescent="0.25">
      <c r="A570" s="12" t="s">
        <v>609</v>
      </c>
      <c r="B570" s="12" t="s">
        <v>26</v>
      </c>
      <c r="C570" s="14">
        <v>36014</v>
      </c>
      <c r="D570" s="17">
        <f t="shared" si="65"/>
        <v>1998</v>
      </c>
      <c r="E570" s="16">
        <f t="shared" si="64"/>
        <v>27</v>
      </c>
      <c r="F570" s="12" t="str">
        <f t="shared" si="66"/>
        <v>20=&lt;30</v>
      </c>
      <c r="G570" s="12" t="s">
        <v>51</v>
      </c>
      <c r="H570" s="13">
        <v>4439.75</v>
      </c>
      <c r="I570" s="12" t="str">
        <f t="shared" si="67"/>
        <v>4000=&lt;5000 AZN</v>
      </c>
      <c r="J570" s="13">
        <v>805.4</v>
      </c>
      <c r="K570" s="12" t="str">
        <f t="shared" si="68"/>
        <v>&lt;1000 AZN</v>
      </c>
      <c r="L570" s="13">
        <f t="shared" si="69"/>
        <v>3634.35</v>
      </c>
      <c r="M570" s="52" t="str">
        <f t="shared" si="70"/>
        <v>musbet</v>
      </c>
      <c r="N570" s="19" t="str">
        <f t="shared" si="71"/>
        <v>Həsən Həsənli 36014</v>
      </c>
    </row>
    <row r="571" spans="1:14" ht="14.25" customHeight="1" x14ac:dyDescent="0.25">
      <c r="A571" s="12" t="s">
        <v>610</v>
      </c>
      <c r="B571" s="12" t="s">
        <v>39</v>
      </c>
      <c r="C571" s="14">
        <v>27239</v>
      </c>
      <c r="D571" s="17">
        <f t="shared" si="65"/>
        <v>1974</v>
      </c>
      <c r="E571" s="16">
        <f t="shared" si="64"/>
        <v>51</v>
      </c>
      <c r="F571" s="12" t="str">
        <f t="shared" si="66"/>
        <v>40=&lt;60</v>
      </c>
      <c r="G571" s="12" t="s">
        <v>66</v>
      </c>
      <c r="H571" s="13">
        <v>3834.59</v>
      </c>
      <c r="I571" s="12" t="str">
        <f t="shared" si="67"/>
        <v>3000=&lt;4000 AZN</v>
      </c>
      <c r="J571" s="13">
        <v>2056.6999999999998</v>
      </c>
      <c r="K571" s="12" t="str">
        <f t="shared" si="68"/>
        <v>2000=&lt;3000 AZN</v>
      </c>
      <c r="L571" s="13">
        <f t="shared" si="69"/>
        <v>1777.8900000000003</v>
      </c>
      <c r="M571" s="52" t="str">
        <f t="shared" si="70"/>
        <v>musbet</v>
      </c>
      <c r="N571" s="19" t="str">
        <f t="shared" si="71"/>
        <v>Rizvan Düzgün 27239</v>
      </c>
    </row>
    <row r="572" spans="1:14" ht="14.25" customHeight="1" x14ac:dyDescent="0.25">
      <c r="A572" s="12" t="s">
        <v>611</v>
      </c>
      <c r="B572" s="12" t="s">
        <v>48</v>
      </c>
      <c r="C572" s="14">
        <v>25699</v>
      </c>
      <c r="D572" s="17">
        <f t="shared" si="65"/>
        <v>1970</v>
      </c>
      <c r="E572" s="16">
        <f t="shared" si="64"/>
        <v>55</v>
      </c>
      <c r="F572" s="12" t="str">
        <f t="shared" si="66"/>
        <v>40=&lt;60</v>
      </c>
      <c r="G572" s="12" t="s">
        <v>45</v>
      </c>
      <c r="H572" s="13">
        <v>3008.15</v>
      </c>
      <c r="I572" s="12" t="str">
        <f t="shared" si="67"/>
        <v>3000=&lt;4000 AZN</v>
      </c>
      <c r="J572" s="13">
        <v>2992.75</v>
      </c>
      <c r="K572" s="12" t="str">
        <f t="shared" si="68"/>
        <v>2000=&lt;3000 AZN</v>
      </c>
      <c r="L572" s="13">
        <f t="shared" si="69"/>
        <v>15.400000000000091</v>
      </c>
      <c r="M572" s="52" t="str">
        <f t="shared" si="70"/>
        <v>musbet</v>
      </c>
      <c r="N572" s="19" t="str">
        <f t="shared" si="71"/>
        <v>Asif Abbasbəyli 25699</v>
      </c>
    </row>
    <row r="573" spans="1:14" ht="14.25" customHeight="1" x14ac:dyDescent="0.25">
      <c r="A573" s="12" t="s">
        <v>612</v>
      </c>
      <c r="B573" s="12" t="s">
        <v>44</v>
      </c>
      <c r="C573" s="14">
        <v>22627</v>
      </c>
      <c r="D573" s="17">
        <f t="shared" si="65"/>
        <v>1961</v>
      </c>
      <c r="E573" s="16">
        <f t="shared" si="64"/>
        <v>64</v>
      </c>
      <c r="F573" s="12" t="str">
        <f t="shared" si="66"/>
        <v>60=&lt;</v>
      </c>
      <c r="G573" s="12" t="s">
        <v>63</v>
      </c>
      <c r="H573" s="13">
        <v>1262.04</v>
      </c>
      <c r="I573" s="12" t="str">
        <f t="shared" si="67"/>
        <v>1000=&lt;2000 AZN</v>
      </c>
      <c r="J573" s="13">
        <v>1249.6199999999999</v>
      </c>
      <c r="K573" s="12" t="str">
        <f t="shared" si="68"/>
        <v>1000=&lt;2000 AZN</v>
      </c>
      <c r="L573" s="13">
        <f t="shared" si="69"/>
        <v>12.420000000000073</v>
      </c>
      <c r="M573" s="52" t="str">
        <f t="shared" si="70"/>
        <v>musbet</v>
      </c>
      <c r="N573" s="19" t="str">
        <f t="shared" si="71"/>
        <v>Mehbarə Təhmin 22627</v>
      </c>
    </row>
    <row r="574" spans="1:14" ht="14.25" customHeight="1" x14ac:dyDescent="0.25">
      <c r="A574" s="12" t="s">
        <v>613</v>
      </c>
      <c r="B574" s="12" t="s">
        <v>29</v>
      </c>
      <c r="C574" s="14">
        <v>34796</v>
      </c>
      <c r="D574" s="17">
        <f t="shared" si="65"/>
        <v>1995</v>
      </c>
      <c r="E574" s="16">
        <f t="shared" si="64"/>
        <v>30</v>
      </c>
      <c r="F574" s="12" t="str">
        <f t="shared" si="66"/>
        <v>30=&lt;40</v>
      </c>
      <c r="G574" s="12" t="s">
        <v>60</v>
      </c>
      <c r="H574" s="13">
        <v>1207.07</v>
      </c>
      <c r="I574" s="12" t="str">
        <f t="shared" si="67"/>
        <v>1000=&lt;2000 AZN</v>
      </c>
      <c r="J574" s="13">
        <v>2103.19</v>
      </c>
      <c r="K574" s="12" t="str">
        <f t="shared" si="68"/>
        <v>2000=&lt;3000 AZN</v>
      </c>
      <c r="L574" s="13">
        <f t="shared" si="69"/>
        <v>-896.12000000000012</v>
      </c>
      <c r="M574" s="52" t="str">
        <f t="shared" si="70"/>
        <v>menfi</v>
      </c>
      <c r="N574" s="19" t="str">
        <f t="shared" si="71"/>
        <v>Veysəl Bayramov 34796</v>
      </c>
    </row>
    <row r="575" spans="1:14" ht="14.25" customHeight="1" x14ac:dyDescent="0.25">
      <c r="A575" s="12" t="s">
        <v>614</v>
      </c>
      <c r="B575" s="12" t="s">
        <v>39</v>
      </c>
      <c r="C575" s="14">
        <v>25790</v>
      </c>
      <c r="D575" s="17">
        <f t="shared" si="65"/>
        <v>1970</v>
      </c>
      <c r="E575" s="16">
        <f t="shared" si="64"/>
        <v>55</v>
      </c>
      <c r="F575" s="12" t="str">
        <f t="shared" si="66"/>
        <v>40=&lt;60</v>
      </c>
      <c r="G575" s="12" t="s">
        <v>60</v>
      </c>
      <c r="H575" s="13">
        <v>2336.79</v>
      </c>
      <c r="I575" s="12" t="str">
        <f t="shared" si="67"/>
        <v>2000=&lt;3000 AZN</v>
      </c>
      <c r="J575" s="13">
        <v>2587.1</v>
      </c>
      <c r="K575" s="12" t="str">
        <f t="shared" si="68"/>
        <v>2000=&lt;3000 AZN</v>
      </c>
      <c r="L575" s="13">
        <f t="shared" si="69"/>
        <v>-250.30999999999995</v>
      </c>
      <c r="M575" s="52" t="str">
        <f t="shared" si="70"/>
        <v>menfi</v>
      </c>
      <c r="N575" s="19" t="str">
        <f t="shared" si="71"/>
        <v>Ceyla Düzgün 25790</v>
      </c>
    </row>
    <row r="576" spans="1:14" ht="14.25" customHeight="1" x14ac:dyDescent="0.25">
      <c r="A576" s="12" t="s">
        <v>615</v>
      </c>
      <c r="B576" s="12" t="s">
        <v>39</v>
      </c>
      <c r="C576" s="14">
        <v>35280</v>
      </c>
      <c r="D576" s="17">
        <f t="shared" si="65"/>
        <v>1996</v>
      </c>
      <c r="E576" s="16">
        <f t="shared" si="64"/>
        <v>29</v>
      </c>
      <c r="F576" s="12" t="str">
        <f t="shared" si="66"/>
        <v>20=&lt;30</v>
      </c>
      <c r="G576" s="12" t="s">
        <v>51</v>
      </c>
      <c r="H576" s="13">
        <v>384.86</v>
      </c>
      <c r="I576" s="12" t="str">
        <f t="shared" si="67"/>
        <v>&lt;1000 AZN</v>
      </c>
      <c r="J576" s="13">
        <v>2820.2</v>
      </c>
      <c r="K576" s="12" t="str">
        <f t="shared" si="68"/>
        <v>2000=&lt;3000 AZN</v>
      </c>
      <c r="L576" s="13">
        <f t="shared" si="69"/>
        <v>-2435.3399999999997</v>
      </c>
      <c r="M576" s="52" t="str">
        <f t="shared" si="70"/>
        <v>menfi</v>
      </c>
      <c r="N576" s="19" t="str">
        <f t="shared" si="71"/>
        <v>Ədalət Düzgün 35280</v>
      </c>
    </row>
    <row r="577" spans="1:14" ht="14.25" customHeight="1" x14ac:dyDescent="0.25">
      <c r="A577" s="12" t="s">
        <v>616</v>
      </c>
      <c r="B577" s="12" t="s">
        <v>44</v>
      </c>
      <c r="C577" s="14">
        <v>37093</v>
      </c>
      <c r="D577" s="17">
        <f t="shared" si="65"/>
        <v>2001</v>
      </c>
      <c r="E577" s="16">
        <f t="shared" si="64"/>
        <v>24</v>
      </c>
      <c r="F577" s="12" t="str">
        <f t="shared" si="66"/>
        <v>20=&lt;30</v>
      </c>
      <c r="G577" s="12" t="s">
        <v>45</v>
      </c>
      <c r="H577" s="13">
        <v>4870.3500000000004</v>
      </c>
      <c r="I577" s="12" t="str">
        <f t="shared" si="67"/>
        <v>4000=&lt;5000 AZN</v>
      </c>
      <c r="J577" s="13">
        <v>2491.58</v>
      </c>
      <c r="K577" s="12" t="str">
        <f t="shared" si="68"/>
        <v>2000=&lt;3000 AZN</v>
      </c>
      <c r="L577" s="13">
        <f t="shared" si="69"/>
        <v>2378.7700000000004</v>
      </c>
      <c r="M577" s="52" t="str">
        <f t="shared" si="70"/>
        <v>musbet</v>
      </c>
      <c r="N577" s="19" t="str">
        <f t="shared" si="71"/>
        <v>Güllər Təhmin 37093</v>
      </c>
    </row>
    <row r="578" spans="1:14" ht="14.25" customHeight="1" x14ac:dyDescent="0.25">
      <c r="A578" s="12" t="s">
        <v>617</v>
      </c>
      <c r="B578" s="12" t="s">
        <v>27</v>
      </c>
      <c r="C578" s="14">
        <v>23623</v>
      </c>
      <c r="D578" s="17">
        <f t="shared" si="65"/>
        <v>1964</v>
      </c>
      <c r="E578" s="16">
        <f t="shared" ref="E578:E614" si="72">2025-D578</f>
        <v>61</v>
      </c>
      <c r="F578" s="12" t="str">
        <f t="shared" si="66"/>
        <v>60=&lt;</v>
      </c>
      <c r="G578" s="12" t="s">
        <v>60</v>
      </c>
      <c r="H578" s="13">
        <v>2849.83</v>
      </c>
      <c r="I578" s="12" t="str">
        <f t="shared" si="67"/>
        <v>2000=&lt;3000 AZN</v>
      </c>
      <c r="J578" s="13">
        <v>312.25</v>
      </c>
      <c r="K578" s="12" t="str">
        <f t="shared" si="68"/>
        <v>&lt;1000 AZN</v>
      </c>
      <c r="L578" s="13">
        <f t="shared" si="69"/>
        <v>2537.58</v>
      </c>
      <c r="M578" s="52" t="str">
        <f t="shared" si="70"/>
        <v>musbet</v>
      </c>
      <c r="N578" s="19" t="str">
        <f t="shared" si="71"/>
        <v>Sacidə Vurğun 23623</v>
      </c>
    </row>
    <row r="579" spans="1:14" ht="14.25" customHeight="1" x14ac:dyDescent="0.25">
      <c r="A579" s="12" t="s">
        <v>618</v>
      </c>
      <c r="B579" s="12" t="s">
        <v>28</v>
      </c>
      <c r="C579" s="14">
        <v>29597</v>
      </c>
      <c r="D579" s="17">
        <f t="shared" ref="D579:D614" si="73">YEAR(C579)</f>
        <v>1981</v>
      </c>
      <c r="E579" s="16">
        <f t="shared" si="72"/>
        <v>44</v>
      </c>
      <c r="F579" s="12" t="str">
        <f t="shared" ref="F579:F614" si="74">IF(AND(E579&gt;=0,E579&lt;20),"0=&lt;20",IF(AND(E579&gt;=20,E579&lt;30),"20=&lt;30",IF(AND(E579&gt;=30,E579&lt;40),"30=&lt;40",IF(AND(E579&gt;=40,E579&lt;60),"40=&lt;60",IF(AND(E579&gt;=60),"60=&lt;")))))</f>
        <v>40=&lt;60</v>
      </c>
      <c r="G579" s="12" t="s">
        <v>49</v>
      </c>
      <c r="H579" s="13">
        <v>4102.51</v>
      </c>
      <c r="I579" s="12" t="str">
        <f t="shared" ref="I579:I614" si="75">IF(AND(H579&lt;1000),"&lt;1000 AZN",IF(AND(H579&gt;=1000,H579&lt;2000),"1000=&lt;2000 AZN",IF(AND(H579&gt;=2000,H579&lt;3000),"2000=&lt;3000 AZN",IF(AND(H579&gt;=3000,H579&lt;4000),"3000=&lt;4000 AZN",IF(AND(H579&gt;=4000,H579&lt;5000),"4000=&lt;5000 AZN",IF(AND(H579&gt;=5000,),"5000=&lt;  AZN"))))))</f>
        <v>4000=&lt;5000 AZN</v>
      </c>
      <c r="J579" s="13">
        <v>1146.93</v>
      </c>
      <c r="K579" s="12" t="str">
        <f t="shared" ref="K579:K614" si="76">IF(AND(J579&lt;1000),"&lt;1000 AZN",IF(AND(J579&gt;=1000,J579&lt;2000),"1000=&lt;2000 AZN",IF(AND(J579&gt;=2000,J579&lt;3000),"2000=&lt;3000 AZN",IF(AND(J579&gt;=3000,J579&lt;4000),"3000=&lt;4000 AZN",IF(AND(J579&gt;=4000,J579&lt;5000),"4000=&lt;5000 AZN",IF(AND(J579&gt;=5000,),"5000=&lt;  AZN"))))))</f>
        <v>1000=&lt;2000 AZN</v>
      </c>
      <c r="L579" s="13">
        <f t="shared" ref="L579:L614" si="77">H579-J579</f>
        <v>2955.58</v>
      </c>
      <c r="M579" s="52" t="str">
        <f t="shared" ref="M579:M614" si="78">IF(L579&lt;0,"menfi","musbet")</f>
        <v>musbet</v>
      </c>
      <c r="N579" s="19" t="str">
        <f t="shared" ref="N579:N614" si="79">_xlfn.CONCAT(A579," ",B579," ",C579)</f>
        <v>Sənan Mirzəyev 29597</v>
      </c>
    </row>
    <row r="580" spans="1:14" ht="14.25" customHeight="1" x14ac:dyDescent="0.25">
      <c r="A580" s="12" t="s">
        <v>619</v>
      </c>
      <c r="B580" s="12" t="s">
        <v>26</v>
      </c>
      <c r="C580" s="14">
        <v>37557</v>
      </c>
      <c r="D580" s="17">
        <f t="shared" si="73"/>
        <v>2002</v>
      </c>
      <c r="E580" s="16">
        <f t="shared" si="72"/>
        <v>23</v>
      </c>
      <c r="F580" s="12" t="str">
        <f t="shared" si="74"/>
        <v>20=&lt;30</v>
      </c>
      <c r="G580" s="12" t="s">
        <v>45</v>
      </c>
      <c r="H580" s="13">
        <v>550.5</v>
      </c>
      <c r="I580" s="12" t="str">
        <f t="shared" si="75"/>
        <v>&lt;1000 AZN</v>
      </c>
      <c r="J580" s="13">
        <v>4065.24</v>
      </c>
      <c r="K580" s="12" t="str">
        <f t="shared" si="76"/>
        <v>4000=&lt;5000 AZN</v>
      </c>
      <c r="L580" s="13">
        <f t="shared" si="77"/>
        <v>-3514.74</v>
      </c>
      <c r="M580" s="52" t="str">
        <f t="shared" si="78"/>
        <v>menfi</v>
      </c>
      <c r="N580" s="19" t="str">
        <f t="shared" si="79"/>
        <v>Səfər Həsənli 37557</v>
      </c>
    </row>
    <row r="581" spans="1:14" ht="14.25" customHeight="1" x14ac:dyDescent="0.25">
      <c r="A581" s="12" t="s">
        <v>620</v>
      </c>
      <c r="B581" s="12" t="s">
        <v>30</v>
      </c>
      <c r="C581" s="14">
        <v>31086</v>
      </c>
      <c r="D581" s="17">
        <f t="shared" si="73"/>
        <v>1985</v>
      </c>
      <c r="E581" s="16">
        <f t="shared" si="72"/>
        <v>40</v>
      </c>
      <c r="F581" s="12" t="str">
        <f t="shared" si="74"/>
        <v>40=&lt;60</v>
      </c>
      <c r="G581" s="12" t="s">
        <v>63</v>
      </c>
      <c r="H581" s="13">
        <v>2499.73</v>
      </c>
      <c r="I581" s="12" t="str">
        <f t="shared" si="75"/>
        <v>2000=&lt;3000 AZN</v>
      </c>
      <c r="J581" s="13">
        <v>2699.59</v>
      </c>
      <c r="K581" s="12" t="str">
        <f t="shared" si="76"/>
        <v>2000=&lt;3000 AZN</v>
      </c>
      <c r="L581" s="13">
        <f t="shared" si="77"/>
        <v>-199.86000000000013</v>
      </c>
      <c r="M581" s="52" t="str">
        <f t="shared" si="78"/>
        <v>menfi</v>
      </c>
      <c r="N581" s="19" t="str">
        <f t="shared" si="79"/>
        <v>Səlahəddin Bəktaşi 31086</v>
      </c>
    </row>
    <row r="582" spans="1:14" ht="14.25" customHeight="1" x14ac:dyDescent="0.25">
      <c r="A582" s="12" t="s">
        <v>621</v>
      </c>
      <c r="B582" s="12" t="s">
        <v>28</v>
      </c>
      <c r="C582" s="14">
        <v>31884</v>
      </c>
      <c r="D582" s="17">
        <f t="shared" si="73"/>
        <v>1987</v>
      </c>
      <c r="E582" s="16">
        <f t="shared" si="72"/>
        <v>38</v>
      </c>
      <c r="F582" s="12" t="str">
        <f t="shared" si="74"/>
        <v>30=&lt;40</v>
      </c>
      <c r="G582" s="12" t="s">
        <v>60</v>
      </c>
      <c r="H582" s="13">
        <v>790.7</v>
      </c>
      <c r="I582" s="12" t="str">
        <f t="shared" si="75"/>
        <v>&lt;1000 AZN</v>
      </c>
      <c r="J582" s="13">
        <v>1702.64</v>
      </c>
      <c r="K582" s="12" t="str">
        <f t="shared" si="76"/>
        <v>1000=&lt;2000 AZN</v>
      </c>
      <c r="L582" s="13">
        <f t="shared" si="77"/>
        <v>-911.94</v>
      </c>
      <c r="M582" s="52" t="str">
        <f t="shared" si="78"/>
        <v>menfi</v>
      </c>
      <c r="N582" s="19" t="str">
        <f t="shared" si="79"/>
        <v>İlkanə Mirzəyev 31884</v>
      </c>
    </row>
    <row r="583" spans="1:14" ht="14.25" customHeight="1" x14ac:dyDescent="0.25">
      <c r="A583" s="12" t="s">
        <v>622</v>
      </c>
      <c r="B583" s="12" t="s">
        <v>48</v>
      </c>
      <c r="C583" s="14">
        <v>28087</v>
      </c>
      <c r="D583" s="17">
        <f t="shared" si="73"/>
        <v>1976</v>
      </c>
      <c r="E583" s="16">
        <f t="shared" si="72"/>
        <v>49</v>
      </c>
      <c r="F583" s="12" t="str">
        <f t="shared" si="74"/>
        <v>40=&lt;60</v>
      </c>
      <c r="G583" s="12" t="s">
        <v>63</v>
      </c>
      <c r="H583" s="13">
        <v>1293.3399999999999</v>
      </c>
      <c r="I583" s="12" t="str">
        <f t="shared" si="75"/>
        <v>1000=&lt;2000 AZN</v>
      </c>
      <c r="J583" s="13">
        <v>4742.55</v>
      </c>
      <c r="K583" s="12" t="str">
        <f t="shared" si="76"/>
        <v>4000=&lt;5000 AZN</v>
      </c>
      <c r="L583" s="13">
        <f t="shared" si="77"/>
        <v>-3449.21</v>
      </c>
      <c r="M583" s="52" t="str">
        <f t="shared" si="78"/>
        <v>menfi</v>
      </c>
      <c r="N583" s="19" t="str">
        <f t="shared" si="79"/>
        <v>Rasim Abbasbəyli 28087</v>
      </c>
    </row>
    <row r="584" spans="1:14" ht="14.25" customHeight="1" x14ac:dyDescent="0.25">
      <c r="A584" s="12" t="s">
        <v>623</v>
      </c>
      <c r="B584" s="12" t="s">
        <v>26</v>
      </c>
      <c r="C584" s="14">
        <v>32653</v>
      </c>
      <c r="D584" s="17">
        <f t="shared" si="73"/>
        <v>1989</v>
      </c>
      <c r="E584" s="16">
        <f t="shared" si="72"/>
        <v>36</v>
      </c>
      <c r="F584" s="12" t="str">
        <f t="shared" si="74"/>
        <v>30=&lt;40</v>
      </c>
      <c r="G584" s="12" t="s">
        <v>53</v>
      </c>
      <c r="H584" s="13">
        <v>4893.0600000000004</v>
      </c>
      <c r="I584" s="12" t="str">
        <f t="shared" si="75"/>
        <v>4000=&lt;5000 AZN</v>
      </c>
      <c r="J584" s="13">
        <v>4669.46</v>
      </c>
      <c r="K584" s="12" t="str">
        <f t="shared" si="76"/>
        <v>4000=&lt;5000 AZN</v>
      </c>
      <c r="L584" s="13">
        <f t="shared" si="77"/>
        <v>223.60000000000036</v>
      </c>
      <c r="M584" s="52" t="str">
        <f t="shared" si="78"/>
        <v>musbet</v>
      </c>
      <c r="N584" s="19" t="str">
        <f t="shared" si="79"/>
        <v>Esmira Həsənli 32653</v>
      </c>
    </row>
    <row r="585" spans="1:14" ht="14.25" customHeight="1" x14ac:dyDescent="0.25">
      <c r="A585" s="12" t="s">
        <v>624</v>
      </c>
      <c r="B585" s="12" t="s">
        <v>30</v>
      </c>
      <c r="C585" s="14">
        <v>25805</v>
      </c>
      <c r="D585" s="17">
        <f t="shared" si="73"/>
        <v>1970</v>
      </c>
      <c r="E585" s="16">
        <f t="shared" si="72"/>
        <v>55</v>
      </c>
      <c r="F585" s="12" t="str">
        <f t="shared" si="74"/>
        <v>40=&lt;60</v>
      </c>
      <c r="G585" s="12" t="s">
        <v>42</v>
      </c>
      <c r="H585" s="13">
        <v>2347.04</v>
      </c>
      <c r="I585" s="12" t="str">
        <f t="shared" si="75"/>
        <v>2000=&lt;3000 AZN</v>
      </c>
      <c r="J585" s="13">
        <v>4379.66</v>
      </c>
      <c r="K585" s="12" t="str">
        <f t="shared" si="76"/>
        <v>4000=&lt;5000 AZN</v>
      </c>
      <c r="L585" s="13">
        <f t="shared" si="77"/>
        <v>-2032.62</v>
      </c>
      <c r="M585" s="52" t="str">
        <f t="shared" si="78"/>
        <v>menfi</v>
      </c>
      <c r="N585" s="19" t="str">
        <f t="shared" si="79"/>
        <v>Pərviz Bəktaşi 25805</v>
      </c>
    </row>
    <row r="586" spans="1:14" ht="14.25" customHeight="1" x14ac:dyDescent="0.25">
      <c r="A586" s="12" t="s">
        <v>68</v>
      </c>
      <c r="B586" s="12" t="s">
        <v>44</v>
      </c>
      <c r="C586" s="14">
        <v>24515</v>
      </c>
      <c r="D586" s="17">
        <f t="shared" si="73"/>
        <v>1967</v>
      </c>
      <c r="E586" s="16">
        <f t="shared" si="72"/>
        <v>58</v>
      </c>
      <c r="F586" s="12" t="str">
        <f t="shared" si="74"/>
        <v>40=&lt;60</v>
      </c>
      <c r="G586" s="12" t="s">
        <v>66</v>
      </c>
      <c r="H586" s="13">
        <v>1641.67</v>
      </c>
      <c r="I586" s="12" t="str">
        <f t="shared" si="75"/>
        <v>1000=&lt;2000 AZN</v>
      </c>
      <c r="J586" s="13">
        <v>1702.97</v>
      </c>
      <c r="K586" s="12" t="str">
        <f t="shared" si="76"/>
        <v>1000=&lt;2000 AZN</v>
      </c>
      <c r="L586" s="13">
        <f t="shared" si="77"/>
        <v>-61.299999999999955</v>
      </c>
      <c r="M586" s="52" t="str">
        <f t="shared" si="78"/>
        <v>menfi</v>
      </c>
      <c r="N586" s="19" t="str">
        <f t="shared" si="79"/>
        <v>Laçın Təhmin 24515</v>
      </c>
    </row>
    <row r="587" spans="1:14" ht="14.25" customHeight="1" x14ac:dyDescent="0.25">
      <c r="A587" s="12" t="s">
        <v>625</v>
      </c>
      <c r="B587" s="12" t="s">
        <v>27</v>
      </c>
      <c r="C587" s="14">
        <v>29602</v>
      </c>
      <c r="D587" s="17">
        <f t="shared" si="73"/>
        <v>1981</v>
      </c>
      <c r="E587" s="16">
        <f t="shared" si="72"/>
        <v>44</v>
      </c>
      <c r="F587" s="12" t="str">
        <f t="shared" si="74"/>
        <v>40=&lt;60</v>
      </c>
      <c r="G587" s="12" t="s">
        <v>63</v>
      </c>
      <c r="H587" s="13">
        <v>4250.59</v>
      </c>
      <c r="I587" s="12" t="str">
        <f t="shared" si="75"/>
        <v>4000=&lt;5000 AZN</v>
      </c>
      <c r="J587" s="13">
        <v>3328.63</v>
      </c>
      <c r="K587" s="12" t="str">
        <f t="shared" si="76"/>
        <v>3000=&lt;4000 AZN</v>
      </c>
      <c r="L587" s="13">
        <f t="shared" si="77"/>
        <v>921.96</v>
      </c>
      <c r="M587" s="52" t="str">
        <f t="shared" si="78"/>
        <v>musbet</v>
      </c>
      <c r="N587" s="19" t="str">
        <f t="shared" si="79"/>
        <v>Mahmud Vurğun 29602</v>
      </c>
    </row>
    <row r="588" spans="1:14" ht="14.25" customHeight="1" x14ac:dyDescent="0.25">
      <c r="A588" s="12" t="s">
        <v>626</v>
      </c>
      <c r="B588" s="12" t="s">
        <v>29</v>
      </c>
      <c r="C588" s="14">
        <v>36471</v>
      </c>
      <c r="D588" s="17">
        <f t="shared" si="73"/>
        <v>1999</v>
      </c>
      <c r="E588" s="16">
        <f t="shared" si="72"/>
        <v>26</v>
      </c>
      <c r="F588" s="12" t="str">
        <f t="shared" si="74"/>
        <v>20=&lt;30</v>
      </c>
      <c r="G588" s="12" t="s">
        <v>51</v>
      </c>
      <c r="H588" s="13">
        <v>2018.87</v>
      </c>
      <c r="I588" s="12" t="str">
        <f t="shared" si="75"/>
        <v>2000=&lt;3000 AZN</v>
      </c>
      <c r="J588" s="13">
        <v>1823.98</v>
      </c>
      <c r="K588" s="12" t="str">
        <f t="shared" si="76"/>
        <v>1000=&lt;2000 AZN</v>
      </c>
      <c r="L588" s="13">
        <f t="shared" si="77"/>
        <v>194.88999999999987</v>
      </c>
      <c r="M588" s="52" t="str">
        <f t="shared" si="78"/>
        <v>musbet</v>
      </c>
      <c r="N588" s="19" t="str">
        <f t="shared" si="79"/>
        <v>Niyaz Bayramov 36471</v>
      </c>
    </row>
    <row r="589" spans="1:14" ht="14.25" customHeight="1" x14ac:dyDescent="0.25">
      <c r="A589" s="12" t="s">
        <v>627</v>
      </c>
      <c r="B589" s="12" t="s">
        <v>29</v>
      </c>
      <c r="C589" s="14">
        <v>28280</v>
      </c>
      <c r="D589" s="17">
        <f t="shared" si="73"/>
        <v>1977</v>
      </c>
      <c r="E589" s="16">
        <f t="shared" si="72"/>
        <v>48</v>
      </c>
      <c r="F589" s="12" t="str">
        <f t="shared" si="74"/>
        <v>40=&lt;60</v>
      </c>
      <c r="G589" s="12" t="s">
        <v>45</v>
      </c>
      <c r="H589" s="13">
        <v>3460.09</v>
      </c>
      <c r="I589" s="12" t="str">
        <f t="shared" si="75"/>
        <v>3000=&lt;4000 AZN</v>
      </c>
      <c r="J589" s="13">
        <v>828.07</v>
      </c>
      <c r="K589" s="12" t="str">
        <f t="shared" si="76"/>
        <v>&lt;1000 AZN</v>
      </c>
      <c r="L589" s="13">
        <f t="shared" si="77"/>
        <v>2632.02</v>
      </c>
      <c r="M589" s="52" t="str">
        <f t="shared" si="78"/>
        <v>musbet</v>
      </c>
      <c r="N589" s="19" t="str">
        <f t="shared" si="79"/>
        <v>Tahir  Bayramov 28280</v>
      </c>
    </row>
    <row r="590" spans="1:14" ht="14.25" customHeight="1" x14ac:dyDescent="0.25">
      <c r="A590" s="12" t="s">
        <v>628</v>
      </c>
      <c r="B590" s="12" t="s">
        <v>27</v>
      </c>
      <c r="C590" s="14">
        <v>33148</v>
      </c>
      <c r="D590" s="17">
        <f t="shared" si="73"/>
        <v>1990</v>
      </c>
      <c r="E590" s="16">
        <f t="shared" si="72"/>
        <v>35</v>
      </c>
      <c r="F590" s="12" t="str">
        <f t="shared" si="74"/>
        <v>30=&lt;40</v>
      </c>
      <c r="G590" s="12" t="s">
        <v>58</v>
      </c>
      <c r="H590" s="13">
        <v>3650.23</v>
      </c>
      <c r="I590" s="12" t="str">
        <f t="shared" si="75"/>
        <v>3000=&lt;4000 AZN</v>
      </c>
      <c r="J590" s="13">
        <v>854.37</v>
      </c>
      <c r="K590" s="12" t="str">
        <f t="shared" si="76"/>
        <v>&lt;1000 AZN</v>
      </c>
      <c r="L590" s="13">
        <f t="shared" si="77"/>
        <v>2795.86</v>
      </c>
      <c r="M590" s="52" t="str">
        <f t="shared" si="78"/>
        <v>musbet</v>
      </c>
      <c r="N590" s="19" t="str">
        <f t="shared" si="79"/>
        <v>Qumru Vurğun 33148</v>
      </c>
    </row>
    <row r="591" spans="1:14" ht="14.25" customHeight="1" x14ac:dyDescent="0.25">
      <c r="A591" s="12" t="s">
        <v>629</v>
      </c>
      <c r="B591" s="12" t="s">
        <v>26</v>
      </c>
      <c r="C591" s="14">
        <v>27379</v>
      </c>
      <c r="D591" s="17">
        <f t="shared" si="73"/>
        <v>1974</v>
      </c>
      <c r="E591" s="16">
        <f t="shared" si="72"/>
        <v>51</v>
      </c>
      <c r="F591" s="12" t="str">
        <f t="shared" si="74"/>
        <v>40=&lt;60</v>
      </c>
      <c r="G591" s="12" t="s">
        <v>42</v>
      </c>
      <c r="H591" s="13">
        <v>4366.4799999999996</v>
      </c>
      <c r="I591" s="12" t="str">
        <f t="shared" si="75"/>
        <v>4000=&lt;5000 AZN</v>
      </c>
      <c r="J591" s="13">
        <v>4500.0200000000004</v>
      </c>
      <c r="K591" s="12" t="str">
        <f t="shared" si="76"/>
        <v>4000=&lt;5000 AZN</v>
      </c>
      <c r="L591" s="13">
        <f t="shared" si="77"/>
        <v>-133.54000000000087</v>
      </c>
      <c r="M591" s="52" t="str">
        <f t="shared" si="78"/>
        <v>menfi</v>
      </c>
      <c r="N591" s="19" t="str">
        <f t="shared" si="79"/>
        <v>Səməd Həsənli 27379</v>
      </c>
    </row>
    <row r="592" spans="1:14" ht="14.25" customHeight="1" x14ac:dyDescent="0.25">
      <c r="A592" s="12" t="s">
        <v>630</v>
      </c>
      <c r="B592" s="12" t="s">
        <v>27</v>
      </c>
      <c r="C592" s="14">
        <v>28861</v>
      </c>
      <c r="D592" s="17">
        <f t="shared" si="73"/>
        <v>1979</v>
      </c>
      <c r="E592" s="16">
        <f t="shared" si="72"/>
        <v>46</v>
      </c>
      <c r="F592" s="12" t="str">
        <f t="shared" si="74"/>
        <v>40=&lt;60</v>
      </c>
      <c r="G592" s="12" t="s">
        <v>51</v>
      </c>
      <c r="H592" s="13">
        <v>3730.99</v>
      </c>
      <c r="I592" s="12" t="str">
        <f t="shared" si="75"/>
        <v>3000=&lt;4000 AZN</v>
      </c>
      <c r="J592" s="13">
        <v>1563.01</v>
      </c>
      <c r="K592" s="12" t="str">
        <f t="shared" si="76"/>
        <v>1000=&lt;2000 AZN</v>
      </c>
      <c r="L592" s="13">
        <f t="shared" si="77"/>
        <v>2167.9799999999996</v>
      </c>
      <c r="M592" s="52" t="str">
        <f t="shared" si="78"/>
        <v>musbet</v>
      </c>
      <c r="N592" s="19" t="str">
        <f t="shared" si="79"/>
        <v>Xosrov Vurğun 28861</v>
      </c>
    </row>
    <row r="593" spans="1:14" ht="14.25" customHeight="1" x14ac:dyDescent="0.25">
      <c r="A593" s="12" t="s">
        <v>631</v>
      </c>
      <c r="B593" s="12" t="s">
        <v>65</v>
      </c>
      <c r="C593" s="14">
        <v>25589</v>
      </c>
      <c r="D593" s="17">
        <f t="shared" si="73"/>
        <v>1970</v>
      </c>
      <c r="E593" s="16">
        <f t="shared" si="72"/>
        <v>55</v>
      </c>
      <c r="F593" s="12" t="str">
        <f t="shared" si="74"/>
        <v>40=&lt;60</v>
      </c>
      <c r="G593" s="12" t="s">
        <v>45</v>
      </c>
      <c r="H593" s="13">
        <v>2453.48</v>
      </c>
      <c r="I593" s="12" t="str">
        <f t="shared" si="75"/>
        <v>2000=&lt;3000 AZN</v>
      </c>
      <c r="J593" s="13">
        <v>3192.48</v>
      </c>
      <c r="K593" s="12" t="str">
        <f t="shared" si="76"/>
        <v>3000=&lt;4000 AZN</v>
      </c>
      <c r="L593" s="13">
        <f t="shared" si="77"/>
        <v>-739</v>
      </c>
      <c r="M593" s="52" t="str">
        <f t="shared" si="78"/>
        <v>menfi</v>
      </c>
      <c r="N593" s="19" t="str">
        <f t="shared" si="79"/>
        <v>Zeynulla Cabbarov 25589</v>
      </c>
    </row>
    <row r="594" spans="1:14" ht="14.25" customHeight="1" x14ac:dyDescent="0.25">
      <c r="A594" s="12" t="s">
        <v>632</v>
      </c>
      <c r="B594" s="12" t="s">
        <v>27</v>
      </c>
      <c r="C594" s="14">
        <v>24733</v>
      </c>
      <c r="D594" s="17">
        <f t="shared" si="73"/>
        <v>1967</v>
      </c>
      <c r="E594" s="16">
        <f t="shared" si="72"/>
        <v>58</v>
      </c>
      <c r="F594" s="12" t="str">
        <f t="shared" si="74"/>
        <v>40=&lt;60</v>
      </c>
      <c r="G594" s="12" t="s">
        <v>66</v>
      </c>
      <c r="H594" s="13">
        <v>3832.93</v>
      </c>
      <c r="I594" s="12" t="str">
        <f t="shared" si="75"/>
        <v>3000=&lt;4000 AZN</v>
      </c>
      <c r="J594" s="13">
        <v>2092.59</v>
      </c>
      <c r="K594" s="12" t="str">
        <f t="shared" si="76"/>
        <v>2000=&lt;3000 AZN</v>
      </c>
      <c r="L594" s="13">
        <f t="shared" si="77"/>
        <v>1740.3399999999997</v>
      </c>
      <c r="M594" s="52" t="str">
        <f t="shared" si="78"/>
        <v>musbet</v>
      </c>
      <c r="N594" s="19" t="str">
        <f t="shared" si="79"/>
        <v>Elşad Vurğun 24733</v>
      </c>
    </row>
    <row r="595" spans="1:14" ht="14.25" customHeight="1" x14ac:dyDescent="0.25">
      <c r="A595" s="12" t="s">
        <v>633</v>
      </c>
      <c r="B595" s="12" t="s">
        <v>28</v>
      </c>
      <c r="C595" s="14">
        <v>23006</v>
      </c>
      <c r="D595" s="17">
        <f t="shared" si="73"/>
        <v>1962</v>
      </c>
      <c r="E595" s="16">
        <f t="shared" si="72"/>
        <v>63</v>
      </c>
      <c r="F595" s="12" t="str">
        <f t="shared" si="74"/>
        <v>60=&lt;</v>
      </c>
      <c r="G595" s="12" t="s">
        <v>40</v>
      </c>
      <c r="H595" s="13">
        <v>3811.62</v>
      </c>
      <c r="I595" s="12" t="str">
        <f t="shared" si="75"/>
        <v>3000=&lt;4000 AZN</v>
      </c>
      <c r="J595" s="13">
        <v>4932.32</v>
      </c>
      <c r="K595" s="12" t="str">
        <f t="shared" si="76"/>
        <v>4000=&lt;5000 AZN</v>
      </c>
      <c r="L595" s="13">
        <f t="shared" si="77"/>
        <v>-1120.6999999999998</v>
      </c>
      <c r="M595" s="52" t="str">
        <f t="shared" si="78"/>
        <v>menfi</v>
      </c>
      <c r="N595" s="19" t="str">
        <f t="shared" si="79"/>
        <v>Firudin Mirzəyev 23006</v>
      </c>
    </row>
    <row r="596" spans="1:14" ht="14.25" customHeight="1" x14ac:dyDescent="0.25">
      <c r="A596" s="12" t="s">
        <v>634</v>
      </c>
      <c r="B596" s="12" t="s">
        <v>65</v>
      </c>
      <c r="C596" s="14">
        <v>29380</v>
      </c>
      <c r="D596" s="17">
        <f t="shared" si="73"/>
        <v>1980</v>
      </c>
      <c r="E596" s="16">
        <f t="shared" si="72"/>
        <v>45</v>
      </c>
      <c r="F596" s="12" t="str">
        <f t="shared" si="74"/>
        <v>40=&lt;60</v>
      </c>
      <c r="G596" s="12" t="s">
        <v>58</v>
      </c>
      <c r="H596" s="13">
        <v>4830.17</v>
      </c>
      <c r="I596" s="12" t="str">
        <f t="shared" si="75"/>
        <v>4000=&lt;5000 AZN</v>
      </c>
      <c r="J596" s="13">
        <v>4586.83</v>
      </c>
      <c r="K596" s="12" t="str">
        <f t="shared" si="76"/>
        <v>4000=&lt;5000 AZN</v>
      </c>
      <c r="L596" s="13">
        <f t="shared" si="77"/>
        <v>243.34000000000015</v>
      </c>
      <c r="M596" s="52" t="str">
        <f t="shared" si="78"/>
        <v>musbet</v>
      </c>
      <c r="N596" s="19" t="str">
        <f t="shared" si="79"/>
        <v>Kamal Cabbarov 29380</v>
      </c>
    </row>
    <row r="597" spans="1:14" ht="14.25" customHeight="1" x14ac:dyDescent="0.25">
      <c r="A597" s="12" t="s">
        <v>635</v>
      </c>
      <c r="B597" s="12" t="s">
        <v>65</v>
      </c>
      <c r="C597" s="14">
        <v>25866</v>
      </c>
      <c r="D597" s="17">
        <f t="shared" si="73"/>
        <v>1970</v>
      </c>
      <c r="E597" s="16">
        <f t="shared" si="72"/>
        <v>55</v>
      </c>
      <c r="F597" s="12" t="str">
        <f t="shared" si="74"/>
        <v>40=&lt;60</v>
      </c>
      <c r="G597" s="12" t="s">
        <v>40</v>
      </c>
      <c r="H597" s="13">
        <v>2393.98</v>
      </c>
      <c r="I597" s="12" t="str">
        <f t="shared" si="75"/>
        <v>2000=&lt;3000 AZN</v>
      </c>
      <c r="J597" s="13">
        <v>4326.47</v>
      </c>
      <c r="K597" s="12" t="str">
        <f t="shared" si="76"/>
        <v>4000=&lt;5000 AZN</v>
      </c>
      <c r="L597" s="13">
        <f t="shared" si="77"/>
        <v>-1932.4900000000002</v>
      </c>
      <c r="M597" s="52" t="str">
        <f t="shared" si="78"/>
        <v>menfi</v>
      </c>
      <c r="N597" s="19" t="str">
        <f t="shared" si="79"/>
        <v>Rəxşəndə Cabbarov 25866</v>
      </c>
    </row>
    <row r="598" spans="1:14" ht="14.25" customHeight="1" x14ac:dyDescent="0.25">
      <c r="A598" s="12" t="s">
        <v>636</v>
      </c>
      <c r="B598" s="12" t="s">
        <v>27</v>
      </c>
      <c r="C598" s="14">
        <v>27421</v>
      </c>
      <c r="D598" s="17">
        <f t="shared" si="73"/>
        <v>1975</v>
      </c>
      <c r="E598" s="16">
        <f t="shared" si="72"/>
        <v>50</v>
      </c>
      <c r="F598" s="12" t="str">
        <f t="shared" si="74"/>
        <v>40=&lt;60</v>
      </c>
      <c r="G598" s="12" t="s">
        <v>51</v>
      </c>
      <c r="H598" s="13">
        <v>4376.04</v>
      </c>
      <c r="I598" s="12" t="str">
        <f t="shared" si="75"/>
        <v>4000=&lt;5000 AZN</v>
      </c>
      <c r="J598" s="13">
        <v>2099.4</v>
      </c>
      <c r="K598" s="12" t="str">
        <f t="shared" si="76"/>
        <v>2000=&lt;3000 AZN</v>
      </c>
      <c r="L598" s="13">
        <f t="shared" si="77"/>
        <v>2276.64</v>
      </c>
      <c r="M598" s="52" t="str">
        <f t="shared" si="78"/>
        <v>musbet</v>
      </c>
      <c r="N598" s="19" t="str">
        <f t="shared" si="79"/>
        <v>Təhminə Vurğun 27421</v>
      </c>
    </row>
    <row r="599" spans="1:14" ht="14.25" customHeight="1" x14ac:dyDescent="0.25">
      <c r="A599" s="12" t="s">
        <v>59</v>
      </c>
      <c r="B599" s="12" t="s">
        <v>44</v>
      </c>
      <c r="C599" s="14">
        <v>31884</v>
      </c>
      <c r="D599" s="17">
        <f t="shared" si="73"/>
        <v>1987</v>
      </c>
      <c r="E599" s="16">
        <f t="shared" si="72"/>
        <v>38</v>
      </c>
      <c r="F599" s="12" t="str">
        <f t="shared" si="74"/>
        <v>30=&lt;40</v>
      </c>
      <c r="G599" s="12" t="s">
        <v>63</v>
      </c>
      <c r="H599" s="13">
        <v>1259.53</v>
      </c>
      <c r="I599" s="12" t="str">
        <f t="shared" si="75"/>
        <v>1000=&lt;2000 AZN</v>
      </c>
      <c r="J599" s="13">
        <v>4590.21</v>
      </c>
      <c r="K599" s="12" t="str">
        <f t="shared" si="76"/>
        <v>4000=&lt;5000 AZN</v>
      </c>
      <c r="L599" s="13">
        <f t="shared" si="77"/>
        <v>-3330.6800000000003</v>
      </c>
      <c r="M599" s="52" t="str">
        <f t="shared" si="78"/>
        <v>menfi</v>
      </c>
      <c r="N599" s="19" t="str">
        <f t="shared" si="79"/>
        <v>Aidə Təhmin 31884</v>
      </c>
    </row>
    <row r="600" spans="1:14" ht="14.25" customHeight="1" x14ac:dyDescent="0.25">
      <c r="A600" s="12" t="s">
        <v>61</v>
      </c>
      <c r="B600" s="12" t="s">
        <v>56</v>
      </c>
      <c r="C600" s="14">
        <v>28087</v>
      </c>
      <c r="D600" s="17">
        <f t="shared" si="73"/>
        <v>1976</v>
      </c>
      <c r="E600" s="16">
        <f t="shared" si="72"/>
        <v>49</v>
      </c>
      <c r="F600" s="12" t="str">
        <f t="shared" si="74"/>
        <v>40=&lt;60</v>
      </c>
      <c r="G600" s="12" t="s">
        <v>60</v>
      </c>
      <c r="H600" s="13">
        <v>4211.8599999999997</v>
      </c>
      <c r="I600" s="12" t="str">
        <f t="shared" si="75"/>
        <v>4000=&lt;5000 AZN</v>
      </c>
      <c r="J600" s="13">
        <v>2798.77</v>
      </c>
      <c r="K600" s="12" t="str">
        <f t="shared" si="76"/>
        <v>2000=&lt;3000 AZN</v>
      </c>
      <c r="L600" s="13">
        <f t="shared" si="77"/>
        <v>1413.0899999999997</v>
      </c>
      <c r="M600" s="52" t="str">
        <f t="shared" si="78"/>
        <v>musbet</v>
      </c>
      <c r="N600" s="19" t="str">
        <f t="shared" si="79"/>
        <v>Hüseyn Talıbzadə 28087</v>
      </c>
    </row>
    <row r="601" spans="1:14" ht="14.25" customHeight="1" x14ac:dyDescent="0.25">
      <c r="A601" s="12" t="s">
        <v>62</v>
      </c>
      <c r="B601" s="12" t="s">
        <v>56</v>
      </c>
      <c r="C601" s="14">
        <v>32653</v>
      </c>
      <c r="D601" s="17">
        <f t="shared" si="73"/>
        <v>1989</v>
      </c>
      <c r="E601" s="16">
        <f t="shared" si="72"/>
        <v>36</v>
      </c>
      <c r="F601" s="12" t="str">
        <f t="shared" si="74"/>
        <v>30=&lt;40</v>
      </c>
      <c r="G601" s="12" t="s">
        <v>63</v>
      </c>
      <c r="H601" s="13">
        <v>4854.25</v>
      </c>
      <c r="I601" s="12" t="str">
        <f t="shared" si="75"/>
        <v>4000=&lt;5000 AZN</v>
      </c>
      <c r="J601" s="13">
        <v>3410.93</v>
      </c>
      <c r="K601" s="12" t="str">
        <f t="shared" si="76"/>
        <v>3000=&lt;4000 AZN</v>
      </c>
      <c r="L601" s="13">
        <f t="shared" si="77"/>
        <v>1443.3200000000002</v>
      </c>
      <c r="M601" s="52" t="str">
        <f t="shared" si="78"/>
        <v>musbet</v>
      </c>
      <c r="N601" s="19" t="str">
        <f t="shared" si="79"/>
        <v>Tamaşa Talıbzadə 32653</v>
      </c>
    </row>
    <row r="602" spans="1:14" ht="14.25" customHeight="1" x14ac:dyDescent="0.25">
      <c r="A602" s="12" t="s">
        <v>64</v>
      </c>
      <c r="B602" s="12" t="s">
        <v>65</v>
      </c>
      <c r="C602" s="14">
        <v>25805</v>
      </c>
      <c r="D602" s="17">
        <f t="shared" si="73"/>
        <v>1970</v>
      </c>
      <c r="E602" s="16">
        <f t="shared" si="72"/>
        <v>55</v>
      </c>
      <c r="F602" s="12" t="str">
        <f t="shared" si="74"/>
        <v>40=&lt;60</v>
      </c>
      <c r="G602" s="12" t="s">
        <v>53</v>
      </c>
      <c r="H602" s="13">
        <v>323.02999999999997</v>
      </c>
      <c r="I602" s="12" t="str">
        <f t="shared" si="75"/>
        <v>&lt;1000 AZN</v>
      </c>
      <c r="J602" s="13">
        <v>3094.17</v>
      </c>
      <c r="K602" s="12" t="str">
        <f t="shared" si="76"/>
        <v>3000=&lt;4000 AZN</v>
      </c>
      <c r="L602" s="13">
        <f t="shared" si="77"/>
        <v>-2771.1400000000003</v>
      </c>
      <c r="M602" s="52" t="str">
        <f t="shared" si="78"/>
        <v>menfi</v>
      </c>
      <c r="N602" s="19" t="str">
        <f t="shared" si="79"/>
        <v>Hafiz Cabbarov 25805</v>
      </c>
    </row>
    <row r="603" spans="1:14" ht="14.25" customHeight="1" x14ac:dyDescent="0.25">
      <c r="A603" s="12" t="s">
        <v>67</v>
      </c>
      <c r="B603" s="12" t="s">
        <v>48</v>
      </c>
      <c r="C603" s="14">
        <v>24515</v>
      </c>
      <c r="D603" s="17">
        <f t="shared" si="73"/>
        <v>1967</v>
      </c>
      <c r="E603" s="16">
        <f t="shared" si="72"/>
        <v>58</v>
      </c>
      <c r="F603" s="12" t="str">
        <f t="shared" si="74"/>
        <v>40=&lt;60</v>
      </c>
      <c r="G603" s="12" t="s">
        <v>42</v>
      </c>
      <c r="H603" s="13">
        <v>4254.1899999999996</v>
      </c>
      <c r="I603" s="12" t="str">
        <f t="shared" si="75"/>
        <v>4000=&lt;5000 AZN</v>
      </c>
      <c r="J603" s="13">
        <v>3942.17</v>
      </c>
      <c r="K603" s="12" t="str">
        <f t="shared" si="76"/>
        <v>3000=&lt;4000 AZN</v>
      </c>
      <c r="L603" s="13">
        <f t="shared" si="77"/>
        <v>312.01999999999953</v>
      </c>
      <c r="M603" s="52" t="str">
        <f t="shared" si="78"/>
        <v>musbet</v>
      </c>
      <c r="N603" s="19" t="str">
        <f t="shared" si="79"/>
        <v>Sevil Abbasbəyli 24515</v>
      </c>
    </row>
    <row r="604" spans="1:14" ht="14.25" customHeight="1" x14ac:dyDescent="0.25">
      <c r="A604" s="12" t="s">
        <v>68</v>
      </c>
      <c r="B604" s="12" t="s">
        <v>56</v>
      </c>
      <c r="C604" s="14">
        <v>29602</v>
      </c>
      <c r="D604" s="17">
        <f t="shared" si="73"/>
        <v>1981</v>
      </c>
      <c r="E604" s="16">
        <f t="shared" si="72"/>
        <v>44</v>
      </c>
      <c r="F604" s="12" t="str">
        <f t="shared" si="74"/>
        <v>40=&lt;60</v>
      </c>
      <c r="G604" s="12" t="s">
        <v>66</v>
      </c>
      <c r="H604" s="13">
        <v>2110.5100000000002</v>
      </c>
      <c r="I604" s="12" t="str">
        <f t="shared" si="75"/>
        <v>2000=&lt;3000 AZN</v>
      </c>
      <c r="J604" s="13">
        <v>1572.02</v>
      </c>
      <c r="K604" s="12" t="str">
        <f t="shared" si="76"/>
        <v>1000=&lt;2000 AZN</v>
      </c>
      <c r="L604" s="13">
        <f t="shared" si="77"/>
        <v>538.49000000000024</v>
      </c>
      <c r="M604" s="52" t="str">
        <f t="shared" si="78"/>
        <v>musbet</v>
      </c>
      <c r="N604" s="19" t="str">
        <f t="shared" si="79"/>
        <v>Laçın Talıbzadə 29602</v>
      </c>
    </row>
    <row r="605" spans="1:14" ht="14.25" customHeight="1" x14ac:dyDescent="0.25">
      <c r="A605" s="12" t="s">
        <v>69</v>
      </c>
      <c r="B605" s="12" t="s">
        <v>30</v>
      </c>
      <c r="C605" s="14">
        <v>36471</v>
      </c>
      <c r="D605" s="17">
        <f t="shared" si="73"/>
        <v>1999</v>
      </c>
      <c r="E605" s="16">
        <f t="shared" si="72"/>
        <v>26</v>
      </c>
      <c r="F605" s="12" t="str">
        <f t="shared" si="74"/>
        <v>20=&lt;30</v>
      </c>
      <c r="G605" s="12" t="s">
        <v>63</v>
      </c>
      <c r="H605" s="13">
        <v>4615.63</v>
      </c>
      <c r="I605" s="12" t="str">
        <f t="shared" si="75"/>
        <v>4000=&lt;5000 AZN</v>
      </c>
      <c r="J605" s="13">
        <v>3990.82</v>
      </c>
      <c r="K605" s="12" t="str">
        <f t="shared" si="76"/>
        <v>3000=&lt;4000 AZN</v>
      </c>
      <c r="L605" s="13">
        <f t="shared" si="77"/>
        <v>624.80999999999995</v>
      </c>
      <c r="M605" s="52" t="str">
        <f t="shared" si="78"/>
        <v>musbet</v>
      </c>
      <c r="N605" s="19" t="str">
        <f t="shared" si="79"/>
        <v>Nərminə Bəktaşi 36471</v>
      </c>
    </row>
    <row r="606" spans="1:14" ht="14.25" customHeight="1" x14ac:dyDescent="0.25">
      <c r="A606" s="12" t="s">
        <v>70</v>
      </c>
      <c r="B606" s="12" t="s">
        <v>30</v>
      </c>
      <c r="C606" s="14">
        <v>28280</v>
      </c>
      <c r="D606" s="17">
        <f t="shared" si="73"/>
        <v>1977</v>
      </c>
      <c r="E606" s="16">
        <f t="shared" si="72"/>
        <v>48</v>
      </c>
      <c r="F606" s="12" t="str">
        <f t="shared" si="74"/>
        <v>40=&lt;60</v>
      </c>
      <c r="G606" s="12" t="s">
        <v>51</v>
      </c>
      <c r="H606" s="13">
        <v>2838.52</v>
      </c>
      <c r="I606" s="12" t="str">
        <f t="shared" si="75"/>
        <v>2000=&lt;3000 AZN</v>
      </c>
      <c r="J606" s="13">
        <v>547.66999999999996</v>
      </c>
      <c r="K606" s="12" t="str">
        <f t="shared" si="76"/>
        <v>&lt;1000 AZN</v>
      </c>
      <c r="L606" s="13">
        <f t="shared" si="77"/>
        <v>2290.85</v>
      </c>
      <c r="M606" s="52" t="str">
        <f t="shared" si="78"/>
        <v>musbet</v>
      </c>
      <c r="N606" s="19" t="str">
        <f t="shared" si="79"/>
        <v>Nisə Bəktaşi 28280</v>
      </c>
    </row>
    <row r="607" spans="1:14" ht="14.25" customHeight="1" x14ac:dyDescent="0.25">
      <c r="A607" s="12" t="s">
        <v>71</v>
      </c>
      <c r="B607" s="12" t="s">
        <v>29</v>
      </c>
      <c r="C607" s="14">
        <v>33148</v>
      </c>
      <c r="D607" s="17">
        <f t="shared" si="73"/>
        <v>1990</v>
      </c>
      <c r="E607" s="16">
        <f t="shared" si="72"/>
        <v>35</v>
      </c>
      <c r="F607" s="12" t="str">
        <f t="shared" si="74"/>
        <v>30=&lt;40</v>
      </c>
      <c r="G607" s="12" t="s">
        <v>45</v>
      </c>
      <c r="H607" s="13">
        <v>2385.77</v>
      </c>
      <c r="I607" s="12" t="str">
        <f t="shared" si="75"/>
        <v>2000=&lt;3000 AZN</v>
      </c>
      <c r="J607" s="13">
        <v>1496.68</v>
      </c>
      <c r="K607" s="12" t="str">
        <f t="shared" si="76"/>
        <v>1000=&lt;2000 AZN</v>
      </c>
      <c r="L607" s="13">
        <f t="shared" si="77"/>
        <v>889.08999999999992</v>
      </c>
      <c r="M607" s="52" t="str">
        <f t="shared" si="78"/>
        <v>musbet</v>
      </c>
      <c r="N607" s="19" t="str">
        <f t="shared" si="79"/>
        <v>Şamxal Bayramov 33148</v>
      </c>
    </row>
    <row r="608" spans="1:14" ht="14.25" customHeight="1" x14ac:dyDescent="0.25">
      <c r="A608" s="12" t="s">
        <v>72</v>
      </c>
      <c r="B608" s="12" t="s">
        <v>65</v>
      </c>
      <c r="C608" s="14">
        <v>27379</v>
      </c>
      <c r="D608" s="17">
        <f t="shared" si="73"/>
        <v>1974</v>
      </c>
      <c r="E608" s="16">
        <f t="shared" si="72"/>
        <v>51</v>
      </c>
      <c r="F608" s="12" t="str">
        <f t="shared" si="74"/>
        <v>40=&lt;60</v>
      </c>
      <c r="G608" s="12" t="s">
        <v>58</v>
      </c>
      <c r="H608" s="13">
        <v>3336.83</v>
      </c>
      <c r="I608" s="12" t="str">
        <f t="shared" si="75"/>
        <v>3000=&lt;4000 AZN</v>
      </c>
      <c r="J608" s="13">
        <v>4367.38</v>
      </c>
      <c r="K608" s="12" t="str">
        <f t="shared" si="76"/>
        <v>4000=&lt;5000 AZN</v>
      </c>
      <c r="L608" s="13">
        <f t="shared" si="77"/>
        <v>-1030.5500000000002</v>
      </c>
      <c r="M608" s="52" t="str">
        <f t="shared" si="78"/>
        <v>menfi</v>
      </c>
      <c r="N608" s="19" t="str">
        <f t="shared" si="79"/>
        <v>Qüdrət Cabbarov 27379</v>
      </c>
    </row>
    <row r="609" spans="1:14" ht="14.25" customHeight="1" x14ac:dyDescent="0.25">
      <c r="A609" s="12" t="s">
        <v>17</v>
      </c>
      <c r="B609" s="12" t="s">
        <v>26</v>
      </c>
      <c r="C609" s="14">
        <v>28861</v>
      </c>
      <c r="D609" s="17">
        <f t="shared" si="73"/>
        <v>1979</v>
      </c>
      <c r="E609" s="16">
        <f t="shared" si="72"/>
        <v>46</v>
      </c>
      <c r="F609" s="12" t="str">
        <f t="shared" si="74"/>
        <v>40=&lt;60</v>
      </c>
      <c r="G609" s="12" t="s">
        <v>42</v>
      </c>
      <c r="H609" s="13">
        <v>4483.71</v>
      </c>
      <c r="I609" s="12" t="str">
        <f t="shared" si="75"/>
        <v>4000=&lt;5000 AZN</v>
      </c>
      <c r="J609" s="13">
        <v>3400.26</v>
      </c>
      <c r="K609" s="12" t="str">
        <f t="shared" si="76"/>
        <v>3000=&lt;4000 AZN</v>
      </c>
      <c r="L609" s="13">
        <f t="shared" si="77"/>
        <v>1083.4499999999998</v>
      </c>
      <c r="M609" s="52" t="str">
        <f t="shared" si="78"/>
        <v>musbet</v>
      </c>
      <c r="N609" s="19" t="str">
        <f t="shared" si="79"/>
        <v>Mənsur Həsənli 28861</v>
      </c>
    </row>
    <row r="610" spans="1:14" ht="14.25" customHeight="1" x14ac:dyDescent="0.25">
      <c r="A610" s="12" t="s">
        <v>18</v>
      </c>
      <c r="B610" s="12" t="s">
        <v>27</v>
      </c>
      <c r="C610" s="14">
        <v>25589</v>
      </c>
      <c r="D610" s="17">
        <f t="shared" si="73"/>
        <v>1970</v>
      </c>
      <c r="E610" s="16">
        <f t="shared" si="72"/>
        <v>55</v>
      </c>
      <c r="F610" s="12" t="str">
        <f t="shared" si="74"/>
        <v>40=&lt;60</v>
      </c>
      <c r="G610" s="12" t="s">
        <v>51</v>
      </c>
      <c r="H610" s="13">
        <v>1765.13</v>
      </c>
      <c r="I610" s="12" t="str">
        <f t="shared" si="75"/>
        <v>1000=&lt;2000 AZN</v>
      </c>
      <c r="J610" s="13">
        <v>2652.25</v>
      </c>
      <c r="K610" s="12" t="str">
        <f t="shared" si="76"/>
        <v>2000=&lt;3000 AZN</v>
      </c>
      <c r="L610" s="13">
        <f t="shared" si="77"/>
        <v>-887.11999999999989</v>
      </c>
      <c r="M610" s="52" t="str">
        <f t="shared" si="78"/>
        <v>menfi</v>
      </c>
      <c r="N610" s="19" t="str">
        <f t="shared" si="79"/>
        <v>Hicran Vurğun 25589</v>
      </c>
    </row>
    <row r="611" spans="1:14" ht="14.25" customHeight="1" x14ac:dyDescent="0.25">
      <c r="A611" s="12" t="s">
        <v>19</v>
      </c>
      <c r="B611" s="12" t="s">
        <v>28</v>
      </c>
      <c r="C611" s="14">
        <v>24733</v>
      </c>
      <c r="D611" s="17">
        <f t="shared" si="73"/>
        <v>1967</v>
      </c>
      <c r="E611" s="16">
        <f t="shared" si="72"/>
        <v>58</v>
      </c>
      <c r="F611" s="12" t="str">
        <f t="shared" si="74"/>
        <v>40=&lt;60</v>
      </c>
      <c r="G611" s="12" t="s">
        <v>45</v>
      </c>
      <c r="H611" s="13">
        <v>2864.08</v>
      </c>
      <c r="I611" s="12" t="str">
        <f t="shared" si="75"/>
        <v>2000=&lt;3000 AZN</v>
      </c>
      <c r="J611" s="13">
        <v>1099.04</v>
      </c>
      <c r="K611" s="12" t="str">
        <f t="shared" si="76"/>
        <v>1000=&lt;2000 AZN</v>
      </c>
      <c r="L611" s="13">
        <f t="shared" si="77"/>
        <v>1765.04</v>
      </c>
      <c r="M611" s="52" t="str">
        <f t="shared" si="78"/>
        <v>musbet</v>
      </c>
      <c r="N611" s="19" t="str">
        <f t="shared" si="79"/>
        <v>Sədaqət Mirzəyev 24733</v>
      </c>
    </row>
    <row r="612" spans="1:14" ht="14.25" customHeight="1" x14ac:dyDescent="0.25">
      <c r="A612" s="12" t="s">
        <v>20</v>
      </c>
      <c r="B612" s="12" t="s">
        <v>29</v>
      </c>
      <c r="C612" s="14">
        <v>23006</v>
      </c>
      <c r="D612" s="17">
        <f t="shared" si="73"/>
        <v>1962</v>
      </c>
      <c r="E612" s="16">
        <f t="shared" si="72"/>
        <v>63</v>
      </c>
      <c r="F612" s="12" t="str">
        <f t="shared" si="74"/>
        <v>60=&lt;</v>
      </c>
      <c r="G612" s="12" t="s">
        <v>66</v>
      </c>
      <c r="H612" s="13">
        <v>4590.87</v>
      </c>
      <c r="I612" s="12" t="str">
        <f t="shared" si="75"/>
        <v>4000=&lt;5000 AZN</v>
      </c>
      <c r="J612" s="13">
        <v>4489.83</v>
      </c>
      <c r="K612" s="12" t="str">
        <f t="shared" si="76"/>
        <v>4000=&lt;5000 AZN</v>
      </c>
      <c r="L612" s="13">
        <f t="shared" si="77"/>
        <v>101.03999999999996</v>
      </c>
      <c r="M612" s="52" t="str">
        <f t="shared" si="78"/>
        <v>musbet</v>
      </c>
      <c r="N612" s="19" t="str">
        <f t="shared" si="79"/>
        <v>Urfan Bayramov 23006</v>
      </c>
    </row>
    <row r="613" spans="1:14" ht="14.25" customHeight="1" x14ac:dyDescent="0.25">
      <c r="A613" s="12" t="s">
        <v>21</v>
      </c>
      <c r="B613" s="12" t="s">
        <v>30</v>
      </c>
      <c r="C613" s="14">
        <v>28280</v>
      </c>
      <c r="D613" s="17">
        <f t="shared" si="73"/>
        <v>1977</v>
      </c>
      <c r="E613" s="16">
        <f t="shared" si="72"/>
        <v>48</v>
      </c>
      <c r="F613" s="12" t="str">
        <f t="shared" si="74"/>
        <v>40=&lt;60</v>
      </c>
      <c r="G613" s="12" t="s">
        <v>40</v>
      </c>
      <c r="H613" s="13">
        <v>2325.31</v>
      </c>
      <c r="I613" s="12" t="str">
        <f t="shared" si="75"/>
        <v>2000=&lt;3000 AZN</v>
      </c>
      <c r="J613" s="13">
        <v>1391.78</v>
      </c>
      <c r="K613" s="12" t="str">
        <f t="shared" si="76"/>
        <v>1000=&lt;2000 AZN</v>
      </c>
      <c r="L613" s="13">
        <f t="shared" si="77"/>
        <v>933.53</v>
      </c>
      <c r="M613" s="52" t="str">
        <f t="shared" si="78"/>
        <v>musbet</v>
      </c>
      <c r="N613" s="19" t="str">
        <f t="shared" si="79"/>
        <v>Familə Bəktaşi 28280</v>
      </c>
    </row>
    <row r="614" spans="1:14" ht="14.25" customHeight="1" x14ac:dyDescent="0.25">
      <c r="A614" s="12" t="s">
        <v>22</v>
      </c>
      <c r="B614" s="12" t="s">
        <v>29</v>
      </c>
      <c r="C614" s="14">
        <v>33148</v>
      </c>
      <c r="D614" s="17">
        <f t="shared" si="73"/>
        <v>1990</v>
      </c>
      <c r="E614" s="16">
        <f t="shared" si="72"/>
        <v>35</v>
      </c>
      <c r="F614" s="12" t="str">
        <f t="shared" si="74"/>
        <v>30=&lt;40</v>
      </c>
      <c r="G614" s="12" t="s">
        <v>58</v>
      </c>
      <c r="H614" s="13">
        <v>3349.13</v>
      </c>
      <c r="I614" s="12" t="str">
        <f t="shared" si="75"/>
        <v>3000=&lt;4000 AZN</v>
      </c>
      <c r="J614" s="13">
        <v>336.18</v>
      </c>
      <c r="K614" s="12" t="str">
        <f t="shared" si="76"/>
        <v>&lt;1000 AZN</v>
      </c>
      <c r="L614" s="13">
        <f t="shared" si="77"/>
        <v>3012.9500000000003</v>
      </c>
      <c r="M614" s="52" t="str">
        <f t="shared" si="78"/>
        <v>musbet</v>
      </c>
      <c r="N614" s="19" t="str">
        <f t="shared" si="79"/>
        <v>Jalə Bayramov 33148</v>
      </c>
    </row>
    <row r="615" spans="1:14" ht="14.25" customHeight="1" x14ac:dyDescent="0.25"/>
    <row r="616" spans="1:14" ht="14.25" customHeight="1" x14ac:dyDescent="0.25"/>
    <row r="617" spans="1:14" ht="14.25" customHeight="1" x14ac:dyDescent="0.25"/>
    <row r="618" spans="1:14" ht="14.25" customHeight="1" x14ac:dyDescent="0.25"/>
    <row r="619" spans="1:14" ht="14.25" customHeight="1" x14ac:dyDescent="0.25"/>
    <row r="620" spans="1:14" ht="14.25" customHeight="1" x14ac:dyDescent="0.25"/>
    <row r="621" spans="1:14" ht="14.25" customHeight="1" x14ac:dyDescent="0.25"/>
    <row r="622" spans="1:14" ht="14.25" customHeight="1" x14ac:dyDescent="0.25"/>
    <row r="623" spans="1:14" ht="14.25" customHeight="1" x14ac:dyDescent="0.25"/>
    <row r="624" spans="1:1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Hemid Eliyev</cp:lastModifiedBy>
  <dcterms:modified xsi:type="dcterms:W3CDTF">2026-01-16T11:03:41Z</dcterms:modified>
</cp:coreProperties>
</file>